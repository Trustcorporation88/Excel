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TAREFAS" sheetId="2" state="visible" r:id="rId4"/>
    <sheet name="BURNDOWN" sheetId="3" state="visible" r:id="rId5"/>
  </sheets>
  <definedNames>
    <definedName function="false" hidden="false" localSheetId="0" name="_xlnm.Print_Area" vbProcedure="false">DASHBOARD!$A$1:$L$42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<sst xmlns="http://schemas.openxmlformats.org/spreadsheetml/2006/main" count="112" uniqueCount="84">
  <si>
    <t xml:space="preserve">TRUST EXCEL  ·  TRUST CORPORATION</t>
  </si>
  <si>
    <t xml:space="preserve">Cockpit de Produtividade</t>
  </si>
  <si>
    <t xml:space="preserve">Throughput · cycle time · WIP · capacidade</t>
  </si>
  <si>
    <t xml:space="preserve">A FAZER</t>
  </si>
  <si>
    <t xml:space="preserve">FAZENDO (WIP)</t>
  </si>
  <si>
    <t xml:space="preserve">FEITAS</t>
  </si>
  <si>
    <t xml:space="preserve">CYCLE TIME MÉDIO</t>
  </si>
  <si>
    <t xml:space="preserve">TAREFAS EM ALERTA</t>
  </si>
  <si>
    <t xml:space="preserve">limite recomendado: 3</t>
  </si>
  <si>
    <t xml:space="preserve">dias por entrega</t>
  </si>
  <si>
    <t xml:space="preserve">DISTRIBUIÇÃO POR STATUS</t>
  </si>
  <si>
    <t xml:space="preserve">Status</t>
  </si>
  <si>
    <t xml:space="preserve">Qtd</t>
  </si>
  <si>
    <t xml:space="preserve">A fazer</t>
  </si>
  <si>
    <t xml:space="preserve">Fazendo</t>
  </si>
  <si>
    <t xml:space="preserve">Feito</t>
  </si>
  <si>
    <t xml:space="preserve">Cascata do fluxo</t>
  </si>
  <si>
    <t xml:space="preserve">Spark · burndown real</t>
  </si>
  <si>
    <t xml:space="preserve">Etapa</t>
  </si>
  <si>
    <t xml:space="preserve">Base</t>
  </si>
  <si>
    <t xml:space="preserve">Alta</t>
  </si>
  <si>
    <t xml:space="preserve">Baixa</t>
  </si>
  <si>
    <t xml:space="preserve">Total</t>
  </si>
  <si>
    <t xml:space="preserve">Δ</t>
  </si>
  <si>
    <t xml:space="preserve">Ponto</t>
  </si>
  <si>
    <t xml:space="preserve">Valor</t>
  </si>
  <si>
    <t xml:space="preserve">Spark</t>
  </si>
  <si>
    <t xml:space="preserve">Backlog (a fazer)</t>
  </si>
  <si>
    <t xml:space="preserve">D1</t>
  </si>
  <si>
    <t xml:space="preserve">+ Em andamento</t>
  </si>
  <si>
    <t xml:space="preserve">D2</t>
  </si>
  <si>
    <t xml:space="preserve">− Concluídas</t>
  </si>
  <si>
    <t xml:space="preserve">D3</t>
  </si>
  <si>
    <t xml:space="preserve">Carga líquida</t>
  </si>
  <si>
    <t xml:space="preserve">D4</t>
  </si>
  <si>
    <t xml:space="preserve">D5</t>
  </si>
  <si>
    <t xml:space="preserve">D6</t>
  </si>
  <si>
    <t xml:space="preserve">D7</t>
  </si>
  <si>
    <t xml:space="preserve">MINI-SPARKLINES</t>
  </si>
  <si>
    <t xml:space="preserve">Indicador</t>
  </si>
  <si>
    <t xml:space="preserve">Atual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</si>
  <si>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</si>
  <si>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</si>
  <si>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</si>
  <si>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</si>
  <si>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</si>
  <si>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</si>
  <si>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WIP</t>
  </si>
  <si>
    <t xml:space="preserve">Cycle time</t>
  </si>
  <si>
    <t xml:space="preserve">Alertas</t>
  </si>
  <si>
    <t xml:space="preserve">Tarefas</t>
  </si>
  <si>
    <t xml:space="preserve">Fluxo, cycle time e alertas automáticos</t>
  </si>
  <si>
    <t xml:space="preserve">Tarefa</t>
  </si>
  <si>
    <t xml:space="preserve">Responsável</t>
  </si>
  <si>
    <t xml:space="preserve">Prioridade</t>
  </si>
  <si>
    <t xml:space="preserve">Início</t>
  </si>
  <si>
    <t xml:space="preserve">Entrega</t>
  </si>
  <si>
    <t xml:space="preserve">Cycle (d)</t>
  </si>
  <si>
    <t xml:space="preserve">Idade (d)</t>
  </si>
  <si>
    <t xml:space="preserve">Alerta</t>
  </si>
  <si>
    <t xml:space="preserve">Fechar proposta Alpha</t>
  </si>
  <si>
    <t xml:space="preserve">Flávio</t>
  </si>
  <si>
    <t xml:space="preserve">Conciliação contábil</t>
  </si>
  <si>
    <t xml:space="preserve">Ana</t>
  </si>
  <si>
    <t xml:space="preserve">Campanha de lançamento</t>
  </si>
  <si>
    <t xml:space="preserve">MKT</t>
  </si>
  <si>
    <t xml:space="preserve">Média</t>
  </si>
  <si>
    <t xml:space="preserve">Revisar contratos</t>
  </si>
  <si>
    <t xml:space="preserve">Jurídico</t>
  </si>
  <si>
    <t xml:space="preserve">Pipeline CRM</t>
  </si>
  <si>
    <t xml:space="preserve">Comercial</t>
  </si>
  <si>
    <t xml:space="preserve">Relatório executivo</t>
  </si>
  <si>
    <t xml:space="preserve">Ops</t>
  </si>
  <si>
    <t xml:space="preserve">Cobrança top 5</t>
  </si>
  <si>
    <t xml:space="preserve">Financeiro</t>
  </si>
  <si>
    <t xml:space="preserve">Onboarding cliente</t>
  </si>
  <si>
    <t xml:space="preserve">CS</t>
  </si>
  <si>
    <t xml:space="preserve">Deploy versão 2</t>
  </si>
  <si>
    <t xml:space="preserve">Dev</t>
  </si>
  <si>
    <t xml:space="preserve">Burndown da Semana</t>
  </si>
  <si>
    <t xml:space="preserve">Ideal x real — ritmo de entrega</t>
  </si>
  <si>
    <t xml:space="preserve">Dia</t>
  </si>
  <si>
    <t xml:space="preserve">Ideal restante</t>
  </si>
  <si>
    <t xml:space="preserve">Real restante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</si>
</sst>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#,##0;\(#,##0\);\—"/>
    <numFmt numFmtId="168" formatCode="#,##0.0;\(#,##0.0\);\—"/>
    <numFmt numFmtId="169" formatCode="dd/mm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99C66"/>
      <name val="Aptos Narrow"/>
      <family val="0"/>
      <charset val="1"/>
    </font>
    <font>
      <b val="true"/>
      <sz val="20"/>
      <color rgb="FFF3ECDD"/>
      <name val="Aptos Narrow"/>
      <family val="0"/>
      <charset val="1"/>
    </font>
    <font>
      <i val="true"/>
      <sz val="10"/>
      <color rgb="FF8A9691"/>
      <name val="Aptos Narrow"/>
      <family val="0"/>
      <charset val="1"/>
    </font>
    <font>
      <b val="true"/>
      <sz val="8"/>
      <color rgb="FF8A9691"/>
      <name val="Aptos Narrow"/>
      <family val="0"/>
      <charset val="1"/>
    </font>
    <font>
      <b val="true"/>
      <sz val="20"/>
      <color rgb="FF8A9691"/>
      <name val="Aptos Narrow"/>
      <family val="0"/>
      <charset val="1"/>
    </font>
    <font>
      <b val="true"/>
      <sz val="20"/>
      <color rgb="FFC99C66"/>
      <name val="Aptos Narrow"/>
      <family val="0"/>
      <charset val="1"/>
    </font>
    <font>
      <b val="true"/>
      <sz val="20"/>
      <color rgb="FF43D07F"/>
      <name val="Aptos Narrow"/>
      <family val="0"/>
      <charset val="1"/>
    </font>
    <font>
      <b val="true"/>
      <sz val="20"/>
      <color rgb="FFE0A94B"/>
      <name val="Aptos Narrow"/>
      <family val="0"/>
      <charset val="1"/>
    </font>
    <font>
      <b val="true"/>
      <sz val="20"/>
      <color rgb="FFD9534F"/>
      <name val="Aptos Narrow"/>
      <family val="0"/>
      <charset val="1"/>
    </font>
    <font>
      <i val="true"/>
      <sz val="7"/>
      <color rgb="FF8A9691"/>
      <name val="Aptos Narrow"/>
      <family val="0"/>
      <charset val="1"/>
    </font>
    <font>
      <b val="true"/>
      <sz val="11"/>
      <color rgb="FFF3ECDD"/>
      <name val="Aptos Narrow"/>
      <family val="0"/>
      <charset val="1"/>
    </font>
    <font>
      <b val="true"/>
      <sz val="10"/>
      <color rgb="FFC99C66"/>
      <name val="Aptos Narrow"/>
      <family val="0"/>
      <charset val="1"/>
    </font>
    <font>
      <b val="true"/>
      <sz val="9"/>
      <color rgb="FFF3ECDD"/>
      <name val="Aptos Narrow"/>
      <family val="0"/>
      <charset val="1"/>
    </font>
    <font>
      <sz val="9"/>
      <color rgb="FFF3ECDD"/>
      <name val="Aptos Narrow"/>
      <family val="0"/>
      <charset val="1"/>
    </font>
    <font>
      <sz val="9"/>
      <color rgb="FFC99C66"/>
      <name val="Aptos Narrow"/>
      <family val="0"/>
      <charset val="1"/>
    </font>
    <font>
      <sz val="8"/>
      <color rgb="FF8A9691"/>
      <name val="Aptos Narrow"/>
      <family val="0"/>
      <charset val="1"/>
    </font>
    <font>
      <sz val="8"/>
      <color rgb="FFC99C66"/>
      <name val="Aptos Narrow"/>
      <family val="0"/>
      <charset val="1"/>
    </font>
    <font>
      <sz val="8"/>
      <color rgb="FF43D07F"/>
      <name val="Aptos Narrow"/>
      <family val="0"/>
      <charset val="1"/>
    </font>
    <font>
      <sz val="7"/>
      <color rgb="FF8A9691"/>
      <name val="Aptos Narrow"/>
      <family val="0"/>
      <charset val="1"/>
    </font>
    <font>
      <sz val="11"/>
      <color rgb="FF43D07F"/>
      <name val="Aptos Narrow"/>
      <family val="0"/>
      <charset val="1"/>
    </font>
    <font>
      <sz val="9"/>
      <color rgb="FF0E1512"/>
      <name val="Aptos Narrow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F3ECDD"/>
      <name val="Aptos Narrow"/>
      <family val="0"/>
      <charset val="1"/>
    </font>
    <font>
      <sz val="10"/>
      <color rgb="FF8A9691"/>
      <name val="Aptos Narrow"/>
      <family val="0"/>
      <charset val="1"/>
    </font>
    <font>
      <sz val="10"/>
      <color rgb="FFC99C66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1512"/>
        <bgColor rgb="FF14211B"/>
      </patternFill>
    </fill>
    <fill>
      <patternFill patternType="solid">
        <fgColor rgb="FF1B2C24"/>
        <bgColor rgb="FF1F3329"/>
      </patternFill>
    </fill>
    <fill>
      <patternFill patternType="solid">
        <fgColor rgb="FF1F3329"/>
        <bgColor rgb="FF24382E"/>
      </patternFill>
    </fill>
    <fill>
      <patternFill patternType="solid">
        <fgColor rgb="FF14211B"/>
        <bgColor rgb="FF1B2C2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C99C66"/>
      </top>
      <bottom style="thin">
        <color rgb="FF24382E"/>
      </bottom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24382E"/>
      </top>
      <bottom style="thin">
        <color rgb="FF2438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ptos Narrow"/>
        <charset val="1"/>
        <family val="0"/>
        <b val="1"/>
        <color rgb="FF43D07F"/>
        <sz val="9"/>
      </font>
    </dxf>
    <dxf>
      <font>
        <name val="Aptos Narrow"/>
        <charset val="1"/>
        <family val="0"/>
        <b val="1"/>
        <color rgb="FFD9534F"/>
        <sz val="9"/>
      </font>
    </dxf>
    <dxf>
      <font>
        <name val="Aptos Narrow"/>
        <charset val="1"/>
        <family val="0"/>
        <b val="1"/>
        <color rgb="FFFFFFFF"/>
        <sz val="9"/>
      </font>
      <fill>
        <patternFill>
          <bgColor rgb="FFD9534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E1512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CCFFFF"/>
      <rgbColor rgb="FF660066"/>
      <rgbColor rgb="FFC99C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CDD"/>
      <rgbColor rgb="FFFFFF99"/>
      <rgbColor rgb="FF99CCFF"/>
      <rgbColor rgb="FFFF99CC"/>
      <rgbColor rgb="FFCC99FF"/>
      <rgbColor rgb="FFFFCC99"/>
      <rgbColor rgb="FF4F81BD"/>
      <rgbColor rgb="FF43D07F"/>
      <rgbColor rgb="FF9BBB59"/>
      <rgbColor rgb="FFFFCC00"/>
      <rgbColor rgb="FFE0A94B"/>
      <rgbColor rgb="FFD9534F"/>
      <rgbColor rgb="FF4A7EBB"/>
      <rgbColor rgb="FF8A9691"/>
      <rgbColor rgb="FF14211B"/>
      <rgbColor rgb="FF2E9E5B"/>
      <rgbColor rgb="FF1B2C24"/>
      <rgbColor rgb="FF1F3329"/>
      <rgbColor rgb="FF993300"/>
      <rgbColor rgb="FFC0504D"/>
      <rgbColor rgb="FF333399"/>
      <rgbColor rgb="FF2438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Status das tarefas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DASHBOARD!C12</c:f>
              <c:strCache>
                <c:ptCount val="1"/>
                <c:pt idx="0">
                  <c:v>Qtd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trike="noStrike" u="none">
                      <a:uFillTx/>
                      <a:latin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</c:dLbls>
          <c:cat>
            <c:strRef>
              <c:f>DASHBOARD!$B$13:$B$15</c:f>
              <c:strCache>
                <c:ptCount val="3"/>
                <c:pt idx="0">
                  <c:v>A fazer</c:v>
                </c:pt>
                <c:pt idx="1">
                  <c:v>Fazendo</c:v>
                </c:pt>
                <c:pt idx="2">
                  <c:v>Feito</c:v>
                </c:pt>
              </c:strCache>
            </c:strRef>
          </c:cat>
          <c:val>
            <c:numRef>
              <c:f>DASHBOARD!$C$13:$C$15</c:f>
              <c:numCache>
                <c:formatCode>General</c:formatCode>
                <c:ptCount val="3"/>
                <c:pt idx="0">
                  <c:v>4</c:v>
                </c:pt>
                <c:pt idx="1">
                  <c:v>3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Cascata · backlog → carga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DASHBOARD!C21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DASHBOARD!$B$22:$B$25</c:f>
              <c:strCache>
                <c:ptCount val="4"/>
                <c:pt idx="0">
                  <c:v>Backlog (a fazer)</c:v>
                </c:pt>
                <c:pt idx="1">
                  <c:v>+ Em andamento</c:v>
                </c:pt>
                <c:pt idx="2">
                  <c:v>− Concluídas</c:v>
                </c:pt>
                <c:pt idx="3">
                  <c:v>Carga líquida</c:v>
                </c:pt>
              </c:strCache>
            </c:strRef>
          </c:cat>
          <c:val>
            <c:numRef>
              <c:f>DASHBOARD!$C$22:$C$25</c:f>
              <c:numCache>
                <c:formatCode>#,##0;\(#,##0\);\—</c:formatCode>
                <c:ptCount val="4"/>
                <c:pt idx="0">
                  <c:v>0</c:v>
                </c:pt>
                <c:pt idx="1">
                  <c:v>4</c:v>
                </c:pt>
                <c:pt idx="2">
                  <c:v>5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DASHBOARD!D21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2e9e5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DASHBOARD!$B$22:$B$25</c:f>
              <c:strCache>
                <c:ptCount val="4"/>
                <c:pt idx="0">
                  <c:v>Backlog (a fazer)</c:v>
                </c:pt>
                <c:pt idx="1">
                  <c:v>+ Em andamento</c:v>
                </c:pt>
                <c:pt idx="2">
                  <c:v>− Concluídas</c:v>
                </c:pt>
                <c:pt idx="3">
                  <c:v>Carga líquida</c:v>
                </c:pt>
              </c:strCache>
            </c:strRef>
          </c:cat>
          <c:val>
            <c:numRef>
              <c:f>DASHBOARD!$D$22:$D$25</c:f>
              <c:numCache>
                <c:formatCode>#,##0;\(#,##0\);\—</c:formatCode>
                <c:ptCount val="4"/>
                <c:pt idx="0">
                  <c:v>4</c:v>
                </c:pt>
                <c:pt idx="1">
                  <c:v>3</c:v>
                </c:pt>
                <c:pt idx="2">
                  <c:v>0</c:v>
                </c:pt>
                <c:pt idx="3">
                  <c:v>5</c:v>
                </c:pt>
              </c:numCache>
            </c:numRef>
          </c:val>
        </c:ser>
        <c:ser>
          <c:idx val="2"/>
          <c:order val="2"/>
          <c:tx>
            <c:strRef>
              <c:f>DASHBOARD!E21</c:f>
              <c:strCache>
                <c:ptCount val="1"/>
                <c:pt idx="0">
                  <c:v>Baixa</c:v>
                </c:pt>
              </c:strCache>
            </c:strRef>
          </c:tx>
          <c:spPr>
            <a:solidFill>
              <a:srgbClr val="d953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DASHBOARD!$B$22:$B$25</c:f>
              <c:strCache>
                <c:ptCount val="4"/>
                <c:pt idx="0">
                  <c:v>Backlog (a fazer)</c:v>
                </c:pt>
                <c:pt idx="1">
                  <c:v>+ Em andamento</c:v>
                </c:pt>
                <c:pt idx="2">
                  <c:v>− Concluídas</c:v>
                </c:pt>
                <c:pt idx="3">
                  <c:v>Carga líquida</c:v>
                </c:pt>
              </c:strCache>
            </c:strRef>
          </c:cat>
          <c:val>
            <c:numRef>
              <c:f>DASHBOARD!$E$22:$E$25</c:f>
              <c:numCache>
                <c:formatCode>#,##0;\(#,##0\);\—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</c:ser>
        <c:gapWidth val="150"/>
        <c:overlap val="100"/>
        <c:axId val="56063410"/>
        <c:axId val="17702092"/>
      </c:barChart>
      <c:catAx>
        <c:axId val="560634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702092"/>
        <c:crosses val="autoZero"/>
        <c:auto val="1"/>
        <c:lblAlgn val="ctr"/>
        <c:lblOffset val="100"/>
        <c:noMultiLvlLbl val="0"/>
      </c:catAx>
      <c:valAx>
        <c:axId val="177020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0634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DASHBOARD!O21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c99c66"/>
            </a:solidFill>
            <a:ln w="15120">
              <a:solidFill>
                <a:srgbClr val="c99c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DASHBOARD!$N$22:$N$28</c:f>
              <c:strCache>
                <c:ptCount val="7"/>
                <c:pt idx="0">
                  <c:v>D1</c:v>
                </c:pt>
                <c:pt idx="1">
                  <c:v>D2</c:v>
                </c:pt>
                <c:pt idx="2">
                  <c:v>D3</c:v>
                </c:pt>
                <c:pt idx="3">
                  <c:v>D4</c:v>
                </c:pt>
                <c:pt idx="4">
                  <c:v>D5</c:v>
                </c:pt>
                <c:pt idx="5">
                  <c:v>D6</c:v>
                </c:pt>
                <c:pt idx="6">
                  <c:v>D7</c:v>
                </c:pt>
              </c:strCache>
            </c:strRef>
          </c:cat>
          <c:val>
            <c:numRef>
              <c:f>DASHBOARD!$O$22:$O$28</c:f>
              <c:numCache>
                <c:formatCode>#,##0.0;\(#,##0.0\);\—</c:formatCode>
                <c:ptCount val="7"/>
                <c:pt idx="0">
                  <c:v>20</c:v>
                </c:pt>
                <c:pt idx="1">
                  <c:v>18</c:v>
                </c:pt>
                <c:pt idx="2">
                  <c:v>17</c:v>
                </c:pt>
                <c:pt idx="3">
                  <c:v>13</c:v>
                </c:pt>
                <c:pt idx="4">
                  <c:v>11</c:v>
                </c:pt>
                <c:pt idx="5">
                  <c:v>7</c:v>
                </c:pt>
                <c:pt idx="6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659318"/>
        <c:axId val="84179005"/>
      </c:lineChart>
      <c:catAx>
        <c:axId val="616593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179005"/>
        <c:crosses val="autoZero"/>
        <c:auto val="1"/>
        <c:lblAlgn val="ctr"/>
        <c:lblOffset val="100"/>
        <c:noMultiLvlLbl val="0"/>
      </c:catAx>
      <c:valAx>
        <c:axId val="84179005"/>
        <c:scaling>
          <c:orientation val="minMax"/>
        </c:scaling>
        <c:delete val="0"/>
        <c:axPos val="l"/>
        <c:numFmt formatCode="#,##0.0;\(#,##0.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6593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Burndown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BURNDOWN!B5</c:f>
              <c:strCache>
                <c:ptCount val="1"/>
                <c:pt idx="0">
                  <c:v>Ideal restante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BURNDOWN!$A$6:$A$12</c:f>
              <c:strCache>
                <c:ptCount val="7"/>
                <c:pt idx="0">
                  <c:v>D1</c:v>
                </c:pt>
                <c:pt idx="1">
                  <c:v>D2</c:v>
                </c:pt>
                <c:pt idx="2">
                  <c:v>D3</c:v>
                </c:pt>
                <c:pt idx="3">
                  <c:v>D4</c:v>
                </c:pt>
                <c:pt idx="4">
                  <c:v>D5</c:v>
                </c:pt>
                <c:pt idx="5">
                  <c:v>D6</c:v>
                </c:pt>
                <c:pt idx="6">
                  <c:v>D7</c:v>
                </c:pt>
              </c:strCache>
            </c:strRef>
          </c:cat>
          <c:val>
            <c:numRef>
              <c:f>BURNDOWN!$B$6:$B$12</c:f>
              <c:numCache>
                <c:formatCode>General</c:formatCode>
                <c:ptCount val="7"/>
                <c:pt idx="0">
                  <c:v>20</c:v>
                </c:pt>
                <c:pt idx="1">
                  <c:v>17</c:v>
                </c:pt>
                <c:pt idx="2">
                  <c:v>14</c:v>
                </c:pt>
                <c:pt idx="3">
                  <c:v>11</c:v>
                </c:pt>
                <c:pt idx="4">
                  <c:v>8</c:v>
                </c:pt>
                <c:pt idx="5">
                  <c:v>5</c:v>
                </c:pt>
                <c:pt idx="6">
                  <c:v>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BURNDOWN!C5</c:f>
              <c:strCache>
                <c:ptCount val="1"/>
                <c:pt idx="0">
                  <c:v>Real restante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BURNDOWN!$A$6:$A$12</c:f>
              <c:strCache>
                <c:ptCount val="7"/>
                <c:pt idx="0">
                  <c:v>D1</c:v>
                </c:pt>
                <c:pt idx="1">
                  <c:v>D2</c:v>
                </c:pt>
                <c:pt idx="2">
                  <c:v>D3</c:v>
                </c:pt>
                <c:pt idx="3">
                  <c:v>D4</c:v>
                </c:pt>
                <c:pt idx="4">
                  <c:v>D5</c:v>
                </c:pt>
                <c:pt idx="5">
                  <c:v>D6</c:v>
                </c:pt>
                <c:pt idx="6">
                  <c:v>D7</c:v>
                </c:pt>
              </c:strCache>
            </c:strRef>
          </c:cat>
          <c:val>
            <c:numRef>
              <c:f>BURNDOWN!$C$6:$C$12</c:f>
              <c:numCache>
                <c:formatCode>General</c:formatCode>
                <c:ptCount val="7"/>
                <c:pt idx="0">
                  <c:v>20</c:v>
                </c:pt>
                <c:pt idx="1">
                  <c:v>18</c:v>
                </c:pt>
                <c:pt idx="2">
                  <c:v>17</c:v>
                </c:pt>
                <c:pt idx="3">
                  <c:v>13</c:v>
                </c:pt>
                <c:pt idx="4">
                  <c:v>11</c:v>
                </c:pt>
                <c:pt idx="5">
                  <c:v>7</c:v>
                </c:pt>
                <c:pt idx="6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198265"/>
        <c:axId val="8571932"/>
      </c:lineChart>
      <c:catAx>
        <c:axId val="36198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71932"/>
        <c:crosses val="autoZero"/>
        <c:auto val="1"/>
        <c:lblAlgn val="ctr"/>
        <c:lblOffset val="100"/>
        <c:noMultiLvlLbl val="0"/>
      </c:catAx>
      <c:valAx>
        <c:axId val="85719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1982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0</xdr:rowOff>
    </xdr:from>
    <xdr:to>
      <xdr:col>6</xdr:col>
      <xdr:colOff>394920</xdr:colOff>
      <xdr:row>22</xdr:row>
      <xdr:rowOff>146880</xdr:rowOff>
    </xdr:to>
    <xdr:graphicFrame>
      <xdr:nvGraphicFramePr>
        <xdr:cNvPr id="0" name="Chart 1"/>
        <xdr:cNvGraphicFramePr/>
      </xdr:nvGraphicFramePr>
      <xdr:xfrm>
        <a:off x="4462920" y="2362320"/>
        <a:ext cx="32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0</xdr:rowOff>
    </xdr:from>
    <xdr:to>
      <xdr:col>9</xdr:col>
      <xdr:colOff>1114920</xdr:colOff>
      <xdr:row>30</xdr:row>
      <xdr:rowOff>110880</xdr:rowOff>
    </xdr:to>
    <xdr:graphicFrame>
      <xdr:nvGraphicFramePr>
        <xdr:cNvPr id="1" name="Chart 2"/>
        <xdr:cNvGraphicFramePr/>
      </xdr:nvGraphicFramePr>
      <xdr:xfrm>
        <a:off x="8730000" y="4210200"/>
        <a:ext cx="39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29</xdr:row>
      <xdr:rowOff>0</xdr:rowOff>
    </xdr:from>
    <xdr:to>
      <xdr:col>9</xdr:col>
      <xdr:colOff>754920</xdr:colOff>
      <xdr:row>35</xdr:row>
      <xdr:rowOff>163440</xdr:rowOff>
    </xdr:to>
    <xdr:graphicFrame>
      <xdr:nvGraphicFramePr>
        <xdr:cNvPr id="2" name="Chart 3"/>
        <xdr:cNvGraphicFramePr/>
      </xdr:nvGraphicFramePr>
      <xdr:xfrm>
        <a:off x="8730000" y="6248520"/>
        <a:ext cx="3599640" cy="14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4</xdr:row>
      <xdr:rowOff>0</xdr:rowOff>
    </xdr:from>
    <xdr:to>
      <xdr:col>11</xdr:col>
      <xdr:colOff>88200</xdr:colOff>
      <xdr:row>18</xdr:row>
      <xdr:rowOff>79200</xdr:rowOff>
    </xdr:to>
    <xdr:graphicFrame>
      <xdr:nvGraphicFramePr>
        <xdr:cNvPr id="3" name="Chart 1"/>
        <xdr:cNvGraphicFramePr/>
      </xdr:nvGraphicFramePr>
      <xdr:xfrm>
        <a:off x="4492800" y="10000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.2"/>
    <col collapsed="false" customWidth="true" hidden="false" outlineLevel="0" max="11" min="2" style="0" width="16"/>
    <col collapsed="false" customWidth="true" hidden="false" outlineLevel="0" max="12" min="12" style="0" width="3"/>
    <col collapsed="false" customWidth="true" hidden="true" outlineLevel="0" max="26" min="26" style="0" width="13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13.5" hidden="false" customHeight="true" outlineLevel="0" collapsed="false">
      <c r="A5" s="4"/>
      <c r="B5" s="5" t="s">
        <v>3</v>
      </c>
      <c r="C5" s="5"/>
      <c r="D5" s="5" t="s">
        <v>4</v>
      </c>
      <c r="E5" s="5"/>
      <c r="F5" s="5" t="s">
        <v>5</v>
      </c>
      <c r="G5" s="5"/>
      <c r="H5" s="5" t="s">
        <v>6</v>
      </c>
      <c r="I5" s="5"/>
      <c r="J5" s="5" t="s">
        <v>7</v>
      </c>
      <c r="K5" s="5"/>
      <c r="L5" s="4"/>
    </row>
    <row r="6" customFormat="false" ht="30" hidden="false" customHeight="true" outlineLevel="0" collapsed="false">
      <c r="A6" s="4"/>
      <c r="B6" s="6" t="n">
        <f aca="false">Z40</f>
        <v>4</v>
      </c>
      <c r="C6" s="6"/>
      <c r="D6" s="7" t="n">
        <f aca="false">Z41</f>
        <v>3</v>
      </c>
      <c r="E6" s="7"/>
      <c r="F6" s="8" t="n">
        <f aca="false">Z42</f>
        <v>2</v>
      </c>
      <c r="G6" s="8"/>
      <c r="H6" s="9" t="n">
        <f aca="false">Z43</f>
        <v>5.5</v>
      </c>
      <c r="I6" s="9"/>
      <c r="J6" s="10" t="n">
        <f aca="false">Z45</f>
        <v>2</v>
      </c>
      <c r="K6" s="10"/>
      <c r="L6" s="4"/>
    </row>
    <row r="7" customFormat="false" ht="12" hidden="false" customHeight="true" outlineLevel="0" collapsed="false">
      <c r="A7" s="4"/>
      <c r="B7" s="11"/>
      <c r="C7" s="11"/>
      <c r="D7" s="11" t="s">
        <v>8</v>
      </c>
      <c r="E7" s="11"/>
      <c r="F7" s="11"/>
      <c r="G7" s="11"/>
      <c r="H7" s="11" t="s">
        <v>9</v>
      </c>
      <c r="I7" s="11"/>
      <c r="J7" s="11"/>
      <c r="K7" s="11"/>
      <c r="L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customFormat="false" ht="21.75" hidden="false" customHeight="true" outlineLevel="0" collapsed="false">
      <c r="A9" s="4"/>
      <c r="B9" s="12" t="str">
        <f aca="false">IF(Z41&gt;3,"🟠 WIP acima do limite — termine antes de começar novas.",IF(Z45&gt;0,"🔴 Há tarefas envelhecidas/alta paradas — priorize hoje.","🟢 Fluxo saudável. Mantenha o ritmo."))</f>
        <v>🔴 Há tarefas envelhecidas/alta paradas — priorize hoje.</v>
      </c>
      <c r="C9" s="12"/>
      <c r="D9" s="12"/>
      <c r="E9" s="12"/>
      <c r="F9" s="12"/>
      <c r="G9" s="12"/>
      <c r="H9" s="12"/>
      <c r="I9" s="12"/>
      <c r="J9" s="12"/>
      <c r="K9" s="12"/>
      <c r="L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customFormat="false" ht="15" hidden="false" customHeight="false" outlineLevel="0" collapsed="false">
      <c r="A11" s="4"/>
      <c r="B11" s="13" t="s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</row>
    <row r="12" customFormat="false" ht="25.5" hidden="false" customHeight="true" outlineLevel="0" collapsed="false">
      <c r="A12" s="4"/>
      <c r="B12" s="14" t="s">
        <v>11</v>
      </c>
      <c r="C12" s="14" t="s">
        <v>12</v>
      </c>
      <c r="D12" s="4"/>
      <c r="E12" s="4"/>
      <c r="F12" s="4"/>
      <c r="G12" s="4"/>
      <c r="H12" s="4"/>
      <c r="I12" s="4"/>
      <c r="J12" s="4"/>
      <c r="K12" s="4"/>
      <c r="L12" s="4"/>
    </row>
    <row r="13" customFormat="false" ht="15" hidden="false" customHeight="false" outlineLevel="0" collapsed="false">
      <c r="A13" s="4"/>
      <c r="B13" s="15" t="s">
        <v>13</v>
      </c>
      <c r="C13" s="16" t="n">
        <f aca="false">COUNTIF(TAREFAS!D:D,B13)</f>
        <v>4</v>
      </c>
      <c r="D13" s="4"/>
      <c r="E13" s="4"/>
      <c r="F13" s="4"/>
      <c r="G13" s="4"/>
      <c r="H13" s="4"/>
      <c r="I13" s="4"/>
      <c r="J13" s="4"/>
      <c r="K13" s="4"/>
      <c r="L13" s="4"/>
    </row>
    <row r="14" customFormat="false" ht="15" hidden="false" customHeight="false" outlineLevel="0" collapsed="false">
      <c r="A14" s="4"/>
      <c r="B14" s="15" t="s">
        <v>14</v>
      </c>
      <c r="C14" s="16" t="n">
        <f aca="false">COUNTIF(TAREFAS!D:D,B14)</f>
        <v>3</v>
      </c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4"/>
      <c r="B15" s="15" t="s">
        <v>15</v>
      </c>
      <c r="C15" s="16" t="n">
        <f aca="false">COUNTIF(TAREFAS!D:D,B15)</f>
        <v>2</v>
      </c>
      <c r="D15" s="4"/>
      <c r="E15" s="4"/>
      <c r="F15" s="4"/>
      <c r="G15" s="4"/>
      <c r="H15" s="4"/>
      <c r="I15" s="4"/>
      <c r="J15" s="4"/>
      <c r="K15" s="4"/>
      <c r="L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customFormat="false" ht="15" hidden="false" customHeight="false" outlineLevel="0" collapsed="false">
      <c r="A20" s="4"/>
      <c r="B20" s="13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N20" s="17" t="s">
        <v>17</v>
      </c>
    </row>
    <row r="21" customFormat="false" ht="25.5" hidden="false" customHeight="true" outlineLevel="0" collapsed="false">
      <c r="A21" s="4"/>
      <c r="B21" s="14" t="s">
        <v>18</v>
      </c>
      <c r="C21" s="14" t="s">
        <v>19</v>
      </c>
      <c r="D21" s="14" t="s">
        <v>20</v>
      </c>
      <c r="E21" s="14" t="s">
        <v>21</v>
      </c>
      <c r="F21" s="14" t="s">
        <v>22</v>
      </c>
      <c r="G21" s="14" t="s">
        <v>23</v>
      </c>
      <c r="H21" s="4"/>
      <c r="I21" s="4"/>
      <c r="J21" s="4"/>
      <c r="K21" s="4"/>
      <c r="L21" s="4"/>
      <c r="N21" s="14" t="s">
        <v>24</v>
      </c>
      <c r="O21" s="14" t="s">
        <v>25</v>
      </c>
      <c r="P21" s="18" t="s">
        <v>26</v>
      </c>
    </row>
    <row r="22" customFormat="false" ht="15" hidden="false" customHeight="false" outlineLevel="0" collapsed="false">
      <c r="A22" s="4"/>
      <c r="B22" s="15" t="s">
        <v>27</v>
      </c>
      <c r="C22" s="19" t="n">
        <v>0</v>
      </c>
      <c r="D22" s="19" t="n">
        <f aca="false">IF(G22&gt;=0,G22,0)</f>
        <v>4</v>
      </c>
      <c r="E22" s="19" t="n">
        <f aca="false">IF(G22&lt;0,-G22,0)</f>
        <v>0</v>
      </c>
      <c r="F22" s="19" t="n">
        <f aca="false">G22</f>
        <v>4</v>
      </c>
      <c r="G22" s="20" t="n">
        <f aca="false">$Z$40</f>
        <v>4</v>
      </c>
      <c r="H22" s="4"/>
      <c r="I22" s="4"/>
      <c r="J22" s="4"/>
      <c r="K22" s="4"/>
      <c r="L22" s="4"/>
      <c r="N22" s="21" t="s">
        <v>28</v>
      </c>
      <c r="O22" s="22" t="n">
        <f aca="false">BURNDOWN!C6</f>
        <v>20</v>
      </c>
      <c r="P22" s="23" t="str">
        <f aca="false">IF(OR(O22="",NOT(ISNUMBER(O22))),"",REPT("▬",MAX(1,ROUND((O22-(MIN(O22:O28)))/MAX(0.000000001,(MAX(O22:O28))-(MIN(O22:O28)))*10,0))))</f>
        <v>▬▬▬▬▬▬▬▬▬▬</v>
      </c>
    </row>
    <row r="23" customFormat="false" ht="15" hidden="false" customHeight="false" outlineLevel="0" collapsed="false">
      <c r="A23" s="4"/>
      <c r="B23" s="15" t="s">
        <v>29</v>
      </c>
      <c r="C23" s="19" t="n">
        <f aca="false">IF(G23&gt;=0,F22,F22+G23)</f>
        <v>4</v>
      </c>
      <c r="D23" s="19" t="n">
        <f aca="false">IF(G23&gt;=0,G23,0)</f>
        <v>3</v>
      </c>
      <c r="E23" s="19" t="n">
        <f aca="false">IF(G23&lt;0,-G23,0)</f>
        <v>0</v>
      </c>
      <c r="F23" s="19" t="n">
        <f aca="false">F22+G23</f>
        <v>7</v>
      </c>
      <c r="G23" s="20" t="n">
        <f aca="false">$Z$41</f>
        <v>3</v>
      </c>
      <c r="H23" s="4"/>
      <c r="I23" s="4"/>
      <c r="J23" s="4"/>
      <c r="K23" s="4"/>
      <c r="L23" s="4"/>
      <c r="N23" s="21" t="s">
        <v>30</v>
      </c>
      <c r="O23" s="22" t="n">
        <f aca="false">BURNDOWN!C7</f>
        <v>18</v>
      </c>
      <c r="P23" s="23" t="str">
        <f aca="false">IF(OR(O23="",NOT(ISNUMBER(O23))),"",REPT("▬",MAX(1,ROUND((O23-(MIN(O22:O28)))/MAX(0.000000001,(MAX(O22:O28))-(MIN(O22:O28)))*10,0))))</f>
        <v>▬▬▬▬▬▬▬▬▬</v>
      </c>
    </row>
    <row r="24" customFormat="false" ht="15" hidden="false" customHeight="false" outlineLevel="0" collapsed="false">
      <c r="A24" s="4"/>
      <c r="B24" s="15" t="s">
        <v>31</v>
      </c>
      <c r="C24" s="19" t="n">
        <f aca="false">IF(G24&gt;=0,F23,F23+G24)</f>
        <v>5</v>
      </c>
      <c r="D24" s="19" t="n">
        <f aca="false">IF(G24&gt;=0,G24,0)</f>
        <v>0</v>
      </c>
      <c r="E24" s="19" t="n">
        <f aca="false">IF(G24&lt;0,-G24,0)</f>
        <v>2</v>
      </c>
      <c r="F24" s="19" t="n">
        <f aca="false">F23+G24</f>
        <v>5</v>
      </c>
      <c r="G24" s="20" t="n">
        <f aca="false">-$Z$42</f>
        <v>-2</v>
      </c>
      <c r="H24" s="4"/>
      <c r="I24" s="4"/>
      <c r="J24" s="4"/>
      <c r="K24" s="4"/>
      <c r="L24" s="4"/>
      <c r="N24" s="21" t="s">
        <v>32</v>
      </c>
      <c r="O24" s="22" t="n">
        <f aca="false">BURNDOWN!C8</f>
        <v>17</v>
      </c>
      <c r="P24" s="23" t="str">
        <f aca="false">IF(OR(O24="",NOT(ISNUMBER(O24))),"",REPT("▬",MAX(1,ROUND((O24-(MIN(O22:O28)))/MAX(0.000000001,(MAX(O22:O28))-(MIN(O22:O28)))*10,0))))</f>
        <v>▬▬▬▬▬▬▬▬</v>
      </c>
    </row>
    <row r="25" customFormat="false" ht="15" hidden="false" customHeight="false" outlineLevel="0" collapsed="false">
      <c r="A25" s="4"/>
      <c r="B25" s="15" t="s">
        <v>33</v>
      </c>
      <c r="C25" s="19" t="n">
        <v>0</v>
      </c>
      <c r="D25" s="19" t="n">
        <f aca="false">IF(G25&gt;=0,G25,0)</f>
        <v>5</v>
      </c>
      <c r="E25" s="19" t="n">
        <f aca="false">IF(G25&lt;0,-G25,0)</f>
        <v>0</v>
      </c>
      <c r="F25" s="19" t="n">
        <f aca="false">G25</f>
        <v>5</v>
      </c>
      <c r="G25" s="20" t="n">
        <f aca="false">$Z$40+$Z$41-$Z$42</f>
        <v>5</v>
      </c>
      <c r="H25" s="4"/>
      <c r="I25" s="4"/>
      <c r="J25" s="4"/>
      <c r="K25" s="4"/>
      <c r="L25" s="4"/>
      <c r="N25" s="21" t="s">
        <v>34</v>
      </c>
      <c r="O25" s="22" t="n">
        <f aca="false">BURNDOWN!C9</f>
        <v>13</v>
      </c>
      <c r="P25" s="23" t="str">
        <f aca="false">IF(OR(O25="",NOT(ISNUMBER(O25))),"",REPT("▬",MAX(1,ROUND((O25-(MIN(O22:O28)))/MAX(0.000000001,(MAX(O22:O28))-(MIN(O22:O28)))*10,0))))</f>
        <v>▬▬▬▬▬▬</v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N26" s="21" t="s">
        <v>35</v>
      </c>
      <c r="O26" s="22" t="n">
        <f aca="false">BURNDOWN!C10</f>
        <v>11</v>
      </c>
      <c r="P26" s="23" t="str">
        <f aca="false">IF(OR(O26="",NOT(ISNUMBER(O26))),"",REPT("▬",MAX(1,ROUND((O26-(MIN(O22:O28)))/MAX(0.000000001,(MAX(O22:O28))-(MIN(O22:O28)))*10,0))))</f>
        <v>▬▬▬▬</v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N27" s="21" t="s">
        <v>36</v>
      </c>
      <c r="O27" s="22" t="n">
        <f aca="false">BURNDOWN!C11</f>
        <v>7</v>
      </c>
      <c r="P27" s="23" t="str">
        <f aca="false">IF(OR(O27="",NOT(ISNUMBER(O27))),"",REPT("▬",MAX(1,ROUND((O27-(MIN(O22:O28)))/MAX(0.000000001,(MAX(O22:O28))-(MIN(O22:O28)))*10,0))))</f>
        <v>▬▬</v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N28" s="21" t="s">
        <v>37</v>
      </c>
      <c r="O28" s="22" t="n">
        <f aca="false">BURNDOWN!C12</f>
        <v>4</v>
      </c>
      <c r="P28" s="23" t="str">
        <f aca="false">IF(OR(O28="",NOT(ISNUMBER(O28))),"",REPT("▬",MAX(1,ROUND((O28-(MIN(O22:O28)))/MAX(0.000000001,(MAX(O22:O28))-(MIN(O22:O28)))*10,0))))</f>
        <v>▬</v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customFormat="false" ht="15" hidden="false" customHeight="false" outlineLevel="0" collapsed="false">
      <c r="A30" s="4"/>
      <c r="B30" s="13" t="s">
        <v>38</v>
      </c>
      <c r="C30" s="4"/>
      <c r="D30" s="4"/>
      <c r="E30" s="4"/>
      <c r="F30" s="4"/>
      <c r="G30" s="4"/>
      <c r="H30" s="4"/>
      <c r="I30" s="4"/>
      <c r="J30" s="4"/>
      <c r="K30" s="4"/>
      <c r="L30" s="4"/>
    </row>
    <row r="31" customFormat="false" ht="25.5" hidden="false" customHeight="true" outlineLevel="0" collapsed="false">
      <c r="A31" s="4"/>
      <c r="B31" s="14" t="s">
        <v>39</v>
      </c>
      <c r="C31" s="14" t="s">
        <v>40</v>
      </c>
      <c r="D31" s="14" t="s">
        <v>41</v>
      </c>
      <c r="E31" s="14" t="s">
        <v>42</v>
      </c>
      <c r="F31" s="14" t="s">
        <v>43</v>
      </c>
      <c r="G31" s="14" t="s">
        <v>44</v>
      </c>
      <c r="H31" s="14" t="s">
        <v>45</v>
      </c>
      <c r="I31" s="14" t="s">
        <v>46</v>
      </c>
      <c r="J31" s="14" t="s">
        <v>26</v>
      </c>
      <c r="K31" s="4"/>
      <c r="L31" s="4"/>
    </row>
    <row r="32" customFormat="false" ht="15" hidden="false" customHeight="false" outlineLevel="0" collapsed="false">
      <c r="A32" s="4"/>
      <c r="B32" s="15" t="s">
        <v>47</v>
      </c>
      <c r="C32" s="24" t="n">
        <f aca="false">$Z$41</f>
        <v>3</v>
      </c>
      <c r="D32" s="25" t="n">
        <v>1</v>
      </c>
      <c r="E32" s="25" t="n">
        <v>2</v>
      </c>
      <c r="F32" s="25" t="n">
        <v>3</v>
      </c>
      <c r="G32" s="25" t="n">
        <v>4</v>
      </c>
      <c r="H32" s="25" t="n">
        <v>3</v>
      </c>
      <c r="I32" s="25" t="n">
        <f aca="false">$Z$41</f>
        <v>3</v>
      </c>
      <c r="J32" s="26" t="str">
        <f aca="false">IF(D32=""," ",MID("▁▂▃▄▅▆▇█",MAX(1,MIN(8,ROUND((D32-(MIN(D32:I32)))/MAX(0.000000001,(MAX(D32:I32))-(MIN(D32:I32)))*7+1,0))),1))&amp;IF(E32=""," ",MID("▁▂▃▄▅▆▇█",MAX(1,MIN(8,ROUND((E32-(MIN(D32:I32)))/MAX(0.000000001,(MAX(D32:I32))-(MIN(D32:I32)))*7+1,0))),1))&amp;IF(F32=""," ",MID("▁▂▃▄▅▆▇█",MAX(1,MIN(8,ROUND((F32-(MIN(D32:I32)))/MAX(0.000000001,(MAX(D32:I32))-(MIN(D32:I32)))*7+1,0))),1))&amp;IF(G32=""," ",MID("▁▂▃▄▅▆▇█",MAX(1,MIN(8,ROUND((G32-(MIN(D32:I32)))/MAX(0.000000001,(MAX(D32:I32))-(MIN(D32:I32)))*7+1,0))),1))&amp;IF(H32=""," ",MID("▁▂▃▄▅▆▇█",MAX(1,MIN(8,ROUND((H32-(MIN(D32:I32)))/MAX(0.000000001,(MAX(D32:I32))-(MIN(D32:I32)))*7+1,0))),1))&amp;IF(I32=""," ",MID("▁▂▃▄▅▆▇█",MAX(1,MIN(8,ROUND((I32-(MIN(D32:I32)))/MAX(0.000000001,(MAX(D32:I32))-(MIN(D32:I32)))*7+1,0))),1))</f>
        <v>▁▃▆█▆▆</v>
      </c>
      <c r="K32" s="4"/>
      <c r="L32" s="4"/>
    </row>
    <row r="33" customFormat="false" ht="15" hidden="false" customHeight="false" outlineLevel="0" collapsed="false">
      <c r="A33" s="4"/>
      <c r="B33" s="15" t="s">
        <v>48</v>
      </c>
      <c r="C33" s="24" t="n">
        <f aca="false">$Z$43</f>
        <v>5.5</v>
      </c>
      <c r="D33" s="25" t="n">
        <v>8</v>
      </c>
      <c r="E33" s="25" t="n">
        <v>7</v>
      </c>
      <c r="F33" s="25" t="n">
        <v>6.5</v>
      </c>
      <c r="G33" s="25" t="n">
        <v>6</v>
      </c>
      <c r="H33" s="25" t="n">
        <v>5.5</v>
      </c>
      <c r="I33" s="25" t="n">
        <f aca="false">$Z$43</f>
        <v>5.5</v>
      </c>
      <c r="J33" s="26" t="str">
        <f aca="false">IF(D33=""," ",MID("▁▂▃▄▅▆▇█",MAX(1,MIN(8,ROUND((D33-(MIN(D33:I33)))/MAX(0.000000001,(MAX(D33:I33))-(MIN(D33:I33)))*7+1,0))),1))&amp;IF(E33=""," ",MID("▁▂▃▄▅▆▇█",MAX(1,MIN(8,ROUND((E33-(MIN(D33:I33)))/MAX(0.000000001,(MAX(D33:I33))-(MIN(D33:I33)))*7+1,0))),1))&amp;IF(F33=""," ",MID("▁▂▃▄▅▆▇█",MAX(1,MIN(8,ROUND((F33-(MIN(D33:I33)))/MAX(0.000000001,(MAX(D33:I33))-(MIN(D33:I33)))*7+1,0))),1))&amp;IF(G33=""," ",MID("▁▂▃▄▅▆▇█",MAX(1,MIN(8,ROUND((G33-(MIN(D33:I33)))/MAX(0.000000001,(MAX(D33:I33))-(MIN(D33:I33)))*7+1,0))),1))&amp;IF(H33=""," ",MID("▁▂▃▄▅▆▇█",MAX(1,MIN(8,ROUND((H33-(MIN(D33:I33)))/MAX(0.000000001,(MAX(D33:I33))-(MIN(D33:I33)))*7+1,0))),1))&amp;IF(I33=""," ",MID("▁▂▃▄▅▆▇█",MAX(1,MIN(8,ROUND((I33-(MIN(D33:I33)))/MAX(0.000000001,(MAX(D33:I33))-(MIN(D33:I33)))*7+1,0))),1))</f>
        <v>█▅▄▂▁▁</v>
      </c>
      <c r="K33" s="4"/>
      <c r="L33" s="4"/>
    </row>
    <row r="34" customFormat="false" ht="15" hidden="false" customHeight="false" outlineLevel="0" collapsed="false">
      <c r="A34" s="4"/>
      <c r="B34" s="15" t="s">
        <v>49</v>
      </c>
      <c r="C34" s="24" t="n">
        <f aca="false">$Z$45</f>
        <v>2</v>
      </c>
      <c r="D34" s="25" t="n">
        <v>5</v>
      </c>
      <c r="E34" s="25" t="n">
        <v>4</v>
      </c>
      <c r="F34" s="25" t="n">
        <v>3</v>
      </c>
      <c r="G34" s="25" t="n">
        <v>3</v>
      </c>
      <c r="H34" s="25" t="n">
        <v>2</v>
      </c>
      <c r="I34" s="25" t="n">
        <f aca="false">$Z$45</f>
        <v>2</v>
      </c>
      <c r="J34" s="26" t="str">
        <f aca="false">IF(D34=""," ",MID("▁▂▃▄▅▆▇█",MAX(1,MIN(8,ROUND((D34-(MIN(D34:I34)))/MAX(0.000000001,(MAX(D34:I34))-(MIN(D34:I34)))*7+1,0))),1))&amp;IF(E34=""," ",MID("▁▂▃▄▅▆▇█",MAX(1,MIN(8,ROUND((E34-(MIN(D34:I34)))/MAX(0.000000001,(MAX(D34:I34))-(MIN(D34:I34)))*7+1,0))),1))&amp;IF(F34=""," ",MID("▁▂▃▄▅▆▇█",MAX(1,MIN(8,ROUND((F34-(MIN(D34:I34)))/MAX(0.000000001,(MAX(D34:I34))-(MIN(D34:I34)))*7+1,0))),1))&amp;IF(G34=""," ",MID("▁▂▃▄▅▆▇█",MAX(1,MIN(8,ROUND((G34-(MIN(D34:I34)))/MAX(0.000000001,(MAX(D34:I34))-(MIN(D34:I34)))*7+1,0))),1))&amp;IF(H34=""," ",MID("▁▂▃▄▅▆▇█",MAX(1,MIN(8,ROUND((H34-(MIN(D34:I34)))/MAX(0.000000001,(MAX(D34:I34))-(MIN(D34:I34)))*7+1,0))),1))&amp;IF(I34=""," ",MID("▁▂▃▄▅▆▇█",MAX(1,MIN(8,ROUND((I34-(MIN(D34:I34)))/MAX(0.000000001,(MAX(D34:I34))-(MIN(D34:I34)))*7+1,0))),1))</f>
        <v>█▆▃▃▁▁</v>
      </c>
      <c r="K34" s="4"/>
      <c r="L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Z40" s="27" t="n">
        <f aca="false">COUNTIF(TAREFAS!D:D,"A fazer")</f>
        <v>4</v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Z41" s="27" t="n">
        <f aca="false">COUNTIF(TAREFAS!D:D,"Fazendo")</f>
        <v>3</v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Z42" s="27" t="n">
        <f aca="false">COUNTIF(TAREFAS!D:D,"Feito")</f>
        <v>2</v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Z43" s="27" t="n">
        <f aca="false">IFERROR(AVERAGE(TAREFAS!G6:G156),0)</f>
        <v>5.5</v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Z44" s="27" t="n">
        <f aca="false">COUNTIF(TAREFAS!I6:I156,"⚠*")+SUMPRODUCT(--ISNUMBER(SEARCH("⚠",TAREFAS!I6:I156)))*0</f>
        <v>2</v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Z45" s="27" t="n">
        <f aca="false">SUMPRODUCT(--ISNUMBER(SEARCH("⚠",TAREFAS!I6:I156)))</f>
        <v>2</v>
      </c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</sheetData>
  <mergeCells count="19">
    <mergeCell ref="A1:L1"/>
    <mergeCell ref="A2:L2"/>
    <mergeCell ref="A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9:K9"/>
  </mergeCells>
  <conditionalFormatting sqref="G22:G25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C32:C34">
    <cfRule type="dataBar" priority="4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{1DDFF4E5-FF16-46FD-847A-A2484AB7368D}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DFF4E5-FF16-46FD-847A-A2484AB7368D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C32:C34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6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4"/>
      <c r="K1" s="4"/>
      <c r="L1" s="4"/>
    </row>
    <row r="2" customFormat="false" ht="30" hidden="false" customHeight="true" outlineLevel="0" collapsed="false">
      <c r="A2" s="2" t="s">
        <v>50</v>
      </c>
      <c r="B2" s="2"/>
      <c r="C2" s="2"/>
      <c r="D2" s="2"/>
      <c r="E2" s="2"/>
      <c r="F2" s="2"/>
      <c r="G2" s="2"/>
      <c r="H2" s="2"/>
      <c r="I2" s="2"/>
      <c r="J2" s="4"/>
      <c r="K2" s="4"/>
      <c r="L2" s="4"/>
    </row>
    <row r="3" customFormat="false" ht="18" hidden="false" customHeight="true" outlineLevel="0" collapsed="false">
      <c r="A3" s="3" t="s">
        <v>51</v>
      </c>
      <c r="B3" s="3"/>
      <c r="C3" s="3"/>
      <c r="D3" s="3"/>
      <c r="E3" s="3"/>
      <c r="F3" s="3"/>
      <c r="G3" s="3"/>
      <c r="H3" s="3"/>
      <c r="I3" s="3"/>
      <c r="J3" s="4"/>
      <c r="K3" s="4"/>
      <c r="L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25.5" hidden="false" customHeight="true" outlineLevel="0" collapsed="false">
      <c r="A5" s="14" t="s">
        <v>52</v>
      </c>
      <c r="B5" s="14" t="s">
        <v>53</v>
      </c>
      <c r="C5" s="14" t="s">
        <v>54</v>
      </c>
      <c r="D5" s="14" t="s">
        <v>11</v>
      </c>
      <c r="E5" s="14" t="s">
        <v>55</v>
      </c>
      <c r="F5" s="14" t="s">
        <v>56</v>
      </c>
      <c r="G5" s="14" t="s">
        <v>57</v>
      </c>
      <c r="H5" s="14" t="s">
        <v>58</v>
      </c>
      <c r="I5" s="14" t="s">
        <v>59</v>
      </c>
      <c r="J5" s="4"/>
      <c r="K5" s="4"/>
      <c r="L5" s="4"/>
    </row>
    <row r="6" customFormat="false" ht="15" hidden="false" customHeight="false" outlineLevel="0" collapsed="false">
      <c r="A6" s="15" t="s">
        <v>60</v>
      </c>
      <c r="B6" s="15" t="s">
        <v>61</v>
      </c>
      <c r="C6" s="15" t="s">
        <v>20</v>
      </c>
      <c r="D6" s="15" t="s">
        <v>14</v>
      </c>
      <c r="E6" s="28" t="n">
        <v>46220</v>
      </c>
      <c r="F6" s="28"/>
      <c r="G6" s="15" t="str">
        <f aca="false">IF(AND(D6="Feito",E6&lt;&gt;"",F6&lt;&gt;""),F6-E6,"")</f>
        <v/>
      </c>
      <c r="H6" s="15" t="n">
        <f aca="true">IF(OR(D6="Feito",E6=""),"",TODAY()-E6)</f>
        <v>5</v>
      </c>
      <c r="I6" s="15" t="str">
        <f aca="false">IF(D6="Feito","",IF(H6="","",IF(H6&gt;7,"⚠ envelhecida",IF(AND(C6="Alta",H6&gt;3),"⚠ alta parada",""))))</f>
        <v>⚠ alta parada</v>
      </c>
      <c r="J6" s="4"/>
      <c r="K6" s="4"/>
      <c r="L6" s="4"/>
    </row>
    <row r="7" customFormat="false" ht="15" hidden="false" customHeight="false" outlineLevel="0" collapsed="false">
      <c r="A7" s="15" t="s">
        <v>62</v>
      </c>
      <c r="B7" s="15" t="s">
        <v>63</v>
      </c>
      <c r="C7" s="15" t="s">
        <v>20</v>
      </c>
      <c r="D7" s="15" t="s">
        <v>13</v>
      </c>
      <c r="E7" s="28" t="n">
        <v>46223</v>
      </c>
      <c r="F7" s="28"/>
      <c r="G7" s="15" t="str">
        <f aca="false">IF(AND(D7="Feito",E7&lt;&gt;"",F7&lt;&gt;""),F7-E7,"")</f>
        <v/>
      </c>
      <c r="H7" s="15" t="n">
        <f aca="true">IF(OR(D7="Feito",E7=""),"",TODAY()-E7)</f>
        <v>2</v>
      </c>
      <c r="I7" s="15" t="str">
        <f aca="false">IF(D7="Feito","",IF(H7="","",IF(H7&gt;7,"⚠ envelhecida",IF(AND(C7="Alta",H7&gt;3),"⚠ alta parada",""))))</f>
        <v/>
      </c>
      <c r="J7" s="4"/>
      <c r="K7" s="4"/>
      <c r="L7" s="4"/>
    </row>
    <row r="8" customFormat="false" ht="15" hidden="false" customHeight="false" outlineLevel="0" collapsed="false">
      <c r="A8" s="15" t="s">
        <v>64</v>
      </c>
      <c r="B8" s="15" t="s">
        <v>65</v>
      </c>
      <c r="C8" s="15" t="s">
        <v>66</v>
      </c>
      <c r="D8" s="15" t="s">
        <v>13</v>
      </c>
      <c r="E8" s="28" t="n">
        <v>46224</v>
      </c>
      <c r="F8" s="28"/>
      <c r="G8" s="15" t="str">
        <f aca="false">IF(AND(D8="Feito",E8&lt;&gt;"",F8&lt;&gt;""),F8-E8,"")</f>
        <v/>
      </c>
      <c r="H8" s="15" t="n">
        <f aca="true">IF(OR(D8="Feito",E8=""),"",TODAY()-E8)</f>
        <v>1</v>
      </c>
      <c r="I8" s="15" t="str">
        <f aca="false">IF(D8="Feito","",IF(H8="","",IF(H8&gt;7,"⚠ envelhecida",IF(AND(C8="Alta",H8&gt;3),"⚠ alta parada",""))))</f>
        <v/>
      </c>
      <c r="J8" s="4"/>
      <c r="K8" s="4"/>
      <c r="L8" s="4"/>
    </row>
    <row r="9" customFormat="false" ht="15" hidden="false" customHeight="false" outlineLevel="0" collapsed="false">
      <c r="A9" s="15" t="s">
        <v>67</v>
      </c>
      <c r="B9" s="15" t="s">
        <v>68</v>
      </c>
      <c r="C9" s="15" t="s">
        <v>20</v>
      </c>
      <c r="D9" s="15" t="s">
        <v>14</v>
      </c>
      <c r="E9" s="28" t="n">
        <v>46221</v>
      </c>
      <c r="F9" s="28"/>
      <c r="G9" s="15" t="str">
        <f aca="false">IF(AND(D9="Feito",E9&lt;&gt;"",F9&lt;&gt;""),F9-E9,"")</f>
        <v/>
      </c>
      <c r="H9" s="15" t="n">
        <f aca="true">IF(OR(D9="Feito",E9=""),"",TODAY()-E9)</f>
        <v>4</v>
      </c>
      <c r="I9" s="15" t="str">
        <f aca="false">IF(D9="Feito","",IF(H9="","",IF(H9&gt;7,"⚠ envelhecida",IF(AND(C9="Alta",H9&gt;3),"⚠ alta parada",""))))</f>
        <v>⚠ alta parada</v>
      </c>
      <c r="J9" s="4"/>
      <c r="K9" s="4"/>
      <c r="L9" s="4"/>
    </row>
    <row r="10" customFormat="false" ht="15" hidden="false" customHeight="false" outlineLevel="0" collapsed="false">
      <c r="A10" s="15" t="s">
        <v>69</v>
      </c>
      <c r="B10" s="15" t="s">
        <v>70</v>
      </c>
      <c r="C10" s="15" t="s">
        <v>66</v>
      </c>
      <c r="D10" s="15" t="s">
        <v>15</v>
      </c>
      <c r="E10" s="28" t="n">
        <v>46217</v>
      </c>
      <c r="F10" s="28" t="n">
        <v>46223</v>
      </c>
      <c r="G10" s="15" t="n">
        <f aca="false">IF(AND(D10="Feito",E10&lt;&gt;"",F10&lt;&gt;""),F10-E10,"")</f>
        <v>6</v>
      </c>
      <c r="H10" s="15" t="str">
        <f aca="true">IF(OR(D10="Feito",E10=""),"",TODAY()-E10)</f>
        <v/>
      </c>
      <c r="I10" s="15" t="str">
        <f aca="false">IF(D10="Feito","",IF(H10="","",IF(H10&gt;7,"⚠ envelhecida",IF(AND(C10="Alta",H10&gt;3),"⚠ alta parada",""))))</f>
        <v/>
      </c>
      <c r="J10" s="4"/>
      <c r="K10" s="4"/>
      <c r="L10" s="4"/>
    </row>
    <row r="11" customFormat="false" ht="15" hidden="false" customHeight="false" outlineLevel="0" collapsed="false">
      <c r="A11" s="15" t="s">
        <v>71</v>
      </c>
      <c r="B11" s="15" t="s">
        <v>72</v>
      </c>
      <c r="C11" s="15" t="s">
        <v>21</v>
      </c>
      <c r="D11" s="15" t="s">
        <v>13</v>
      </c>
      <c r="E11" s="28" t="n">
        <v>46225</v>
      </c>
      <c r="F11" s="28"/>
      <c r="G11" s="15" t="str">
        <f aca="false">IF(AND(D11="Feito",E11&lt;&gt;"",F11&lt;&gt;""),F11-E11,"")</f>
        <v/>
      </c>
      <c r="H11" s="15" t="n">
        <f aca="true">IF(OR(D11="Feito",E11=""),"",TODAY()-E11)</f>
        <v>0</v>
      </c>
      <c r="I11" s="15" t="str">
        <f aca="false">IF(D11="Feito","",IF(H11="","",IF(H11&gt;7,"⚠ envelhecida",IF(AND(C11="Alta",H11&gt;3),"⚠ alta parada",""))))</f>
        <v/>
      </c>
      <c r="J11" s="4"/>
      <c r="K11" s="4"/>
      <c r="L11" s="4"/>
    </row>
    <row r="12" customFormat="false" ht="15" hidden="false" customHeight="false" outlineLevel="0" collapsed="false">
      <c r="A12" s="15" t="s">
        <v>73</v>
      </c>
      <c r="B12" s="15" t="s">
        <v>74</v>
      </c>
      <c r="C12" s="15" t="s">
        <v>20</v>
      </c>
      <c r="D12" s="15" t="s">
        <v>14</v>
      </c>
      <c r="E12" s="28" t="n">
        <v>46222</v>
      </c>
      <c r="F12" s="28"/>
      <c r="G12" s="15" t="str">
        <f aca="false">IF(AND(D12="Feito",E12&lt;&gt;"",F12&lt;&gt;""),F12-E12,"")</f>
        <v/>
      </c>
      <c r="H12" s="15" t="n">
        <f aca="true">IF(OR(D12="Feito",E12=""),"",TODAY()-E12)</f>
        <v>3</v>
      </c>
      <c r="I12" s="15" t="str">
        <f aca="false">IF(D12="Feito","",IF(H12="","",IF(H12&gt;7,"⚠ envelhecida",IF(AND(C12="Alta",H12&gt;3),"⚠ alta parada",""))))</f>
        <v/>
      </c>
      <c r="J12" s="4"/>
      <c r="K12" s="4"/>
      <c r="L12" s="4"/>
    </row>
    <row r="13" customFormat="false" ht="15" hidden="false" customHeight="false" outlineLevel="0" collapsed="false">
      <c r="A13" s="15" t="s">
        <v>75</v>
      </c>
      <c r="B13" s="15" t="s">
        <v>76</v>
      </c>
      <c r="C13" s="15" t="s">
        <v>66</v>
      </c>
      <c r="D13" s="15" t="s">
        <v>15</v>
      </c>
      <c r="E13" s="28" t="n">
        <v>46215</v>
      </c>
      <c r="F13" s="28" t="n">
        <v>46220</v>
      </c>
      <c r="G13" s="15" t="n">
        <f aca="false">IF(AND(D13="Feito",E13&lt;&gt;"",F13&lt;&gt;""),F13-E13,"")</f>
        <v>5</v>
      </c>
      <c r="H13" s="15" t="str">
        <f aca="true">IF(OR(D13="Feito",E13=""),"",TODAY()-E13)</f>
        <v/>
      </c>
      <c r="I13" s="15" t="str">
        <f aca="false">IF(D13="Feito","",IF(H13="","",IF(H13&gt;7,"⚠ envelhecida",IF(AND(C13="Alta",H13&gt;3),"⚠ alta parada",""))))</f>
        <v/>
      </c>
      <c r="J13" s="4"/>
      <c r="K13" s="4"/>
      <c r="L13" s="4"/>
    </row>
    <row r="14" customFormat="false" ht="15" hidden="false" customHeight="false" outlineLevel="0" collapsed="false">
      <c r="A14" s="15" t="s">
        <v>77</v>
      </c>
      <c r="B14" s="15" t="s">
        <v>78</v>
      </c>
      <c r="C14" s="15" t="s">
        <v>20</v>
      </c>
      <c r="D14" s="15" t="s">
        <v>13</v>
      </c>
      <c r="E14" s="28" t="n">
        <v>46224</v>
      </c>
      <c r="F14" s="28"/>
      <c r="G14" s="15" t="str">
        <f aca="false">IF(AND(D14="Feito",E14&lt;&gt;"",F14&lt;&gt;""),F14-E14,"")</f>
        <v/>
      </c>
      <c r="H14" s="15" t="n">
        <f aca="true">IF(OR(D14="Feito",E14=""),"",TODAY()-E14)</f>
        <v>1</v>
      </c>
      <c r="I14" s="15" t="str">
        <f aca="false">IF(D14="Feito","",IF(H14="","",IF(H14&gt;7,"⚠ envelhecida",IF(AND(C14="Alta",H14&gt;3),"⚠ alta parada",""))))</f>
        <v/>
      </c>
      <c r="J14" s="4"/>
      <c r="K14" s="4"/>
      <c r="L14" s="4"/>
    </row>
    <row r="15" customFormat="false" ht="15" hidden="false" customHeight="false" outlineLevel="0" collapsed="false">
      <c r="A15" s="15"/>
      <c r="B15" s="15"/>
      <c r="C15" s="15"/>
      <c r="D15" s="15"/>
      <c r="E15" s="28"/>
      <c r="F15" s="28"/>
      <c r="G15" s="15" t="str">
        <f aca="false">IF(AND(D15="Feito",E15&lt;&gt;"",F15&lt;&gt;""),F15-E15,"")</f>
        <v/>
      </c>
      <c r="H15" s="15" t="str">
        <f aca="true">IF(OR(D15="Feito",E15=""),"",TODAY()-E15)</f>
        <v/>
      </c>
      <c r="I15" s="15" t="str">
        <f aca="false">IF(D15="Feito","",IF(H15="","",IF(H15&gt;7,"⚠ envelhecida",IF(AND(C15="Alta",H15&gt;3),"⚠ alta parada",""))))</f>
        <v/>
      </c>
      <c r="J15" s="4"/>
      <c r="K15" s="4"/>
      <c r="L15" s="4"/>
    </row>
    <row r="16" customFormat="false" ht="15" hidden="false" customHeight="false" outlineLevel="0" collapsed="false">
      <c r="A16" s="15"/>
      <c r="B16" s="15"/>
      <c r="C16" s="15"/>
      <c r="D16" s="15"/>
      <c r="E16" s="28"/>
      <c r="F16" s="28"/>
      <c r="G16" s="15" t="str">
        <f aca="false">IF(AND(D16="Feito",E16&lt;&gt;"",F16&lt;&gt;""),F16-E16,"")</f>
        <v/>
      </c>
      <c r="H16" s="15" t="str">
        <f aca="true">IF(OR(D16="Feito",E16=""),"",TODAY()-E16)</f>
        <v/>
      </c>
      <c r="I16" s="15" t="str">
        <f aca="false">IF(D16="Feito","",IF(H16="","",IF(H16&gt;7,"⚠ envelhecida",IF(AND(C16="Alta",H16&gt;3),"⚠ alta parada",""))))</f>
        <v/>
      </c>
      <c r="J16" s="4"/>
      <c r="K16" s="4"/>
      <c r="L16" s="4"/>
    </row>
    <row r="17" customFormat="false" ht="15" hidden="false" customHeight="false" outlineLevel="0" collapsed="false">
      <c r="A17" s="15"/>
      <c r="B17" s="15"/>
      <c r="C17" s="15"/>
      <c r="D17" s="15"/>
      <c r="E17" s="28"/>
      <c r="F17" s="28"/>
      <c r="G17" s="15" t="str">
        <f aca="false">IF(AND(D17="Feito",E17&lt;&gt;"",F17&lt;&gt;""),F17-E17,"")</f>
        <v/>
      </c>
      <c r="H17" s="15" t="str">
        <f aca="true">IF(OR(D17="Feito",E17=""),"",TODAY()-E17)</f>
        <v/>
      </c>
      <c r="I17" s="15" t="str">
        <f aca="false">IF(D17="Feito","",IF(H17="","",IF(H17&gt;7,"⚠ envelhecida",IF(AND(C17="Alta",H17&gt;3),"⚠ alta parada",""))))</f>
        <v/>
      </c>
      <c r="J17" s="4"/>
      <c r="K17" s="4"/>
      <c r="L17" s="4"/>
    </row>
    <row r="18" customFormat="false" ht="15" hidden="false" customHeight="false" outlineLevel="0" collapsed="false">
      <c r="A18" s="15"/>
      <c r="B18" s="15"/>
      <c r="C18" s="15"/>
      <c r="D18" s="15"/>
      <c r="E18" s="28"/>
      <c r="F18" s="28"/>
      <c r="G18" s="15" t="str">
        <f aca="false">IF(AND(D18="Feito",E18&lt;&gt;"",F18&lt;&gt;""),F18-E18,"")</f>
        <v/>
      </c>
      <c r="H18" s="15" t="str">
        <f aca="true">IF(OR(D18="Feito",E18=""),"",TODAY()-E18)</f>
        <v/>
      </c>
      <c r="I18" s="15" t="str">
        <f aca="false">IF(D18="Feito","",IF(H18="","",IF(H18&gt;7,"⚠ envelhecida",IF(AND(C18="Alta",H18&gt;3),"⚠ alta parada",""))))</f>
        <v/>
      </c>
      <c r="J18" s="4"/>
      <c r="K18" s="4"/>
      <c r="L18" s="4"/>
    </row>
    <row r="19" customFormat="false" ht="15" hidden="false" customHeight="false" outlineLevel="0" collapsed="false">
      <c r="A19" s="15"/>
      <c r="B19" s="15"/>
      <c r="C19" s="15"/>
      <c r="D19" s="15"/>
      <c r="E19" s="28"/>
      <c r="F19" s="28"/>
      <c r="G19" s="15" t="str">
        <f aca="false">IF(AND(D19="Feito",E19&lt;&gt;"",F19&lt;&gt;""),F19-E19,"")</f>
        <v/>
      </c>
      <c r="H19" s="15" t="str">
        <f aca="true">IF(OR(D19="Feito",E19=""),"",TODAY()-E19)</f>
        <v/>
      </c>
      <c r="I19" s="15" t="str">
        <f aca="false">IF(D19="Feito","",IF(H19="","",IF(H19&gt;7,"⚠ envelhecida",IF(AND(C19="Alta",H19&gt;3),"⚠ alta parada",""))))</f>
        <v/>
      </c>
      <c r="J19" s="4"/>
      <c r="K19" s="4"/>
      <c r="L19" s="4"/>
    </row>
    <row r="20" customFormat="false" ht="15" hidden="false" customHeight="false" outlineLevel="0" collapsed="false">
      <c r="A20" s="15"/>
      <c r="B20" s="15"/>
      <c r="C20" s="15"/>
      <c r="D20" s="15"/>
      <c r="E20" s="28"/>
      <c r="F20" s="28"/>
      <c r="G20" s="15" t="str">
        <f aca="false">IF(AND(D20="Feito",E20&lt;&gt;"",F20&lt;&gt;""),F20-E20,"")</f>
        <v/>
      </c>
      <c r="H20" s="15" t="str">
        <f aca="true">IF(OR(D20="Feito",E20=""),"",TODAY()-E20)</f>
        <v/>
      </c>
      <c r="I20" s="15" t="str">
        <f aca="false">IF(D20="Feito","",IF(H20="","",IF(H20&gt;7,"⚠ envelhecida",IF(AND(C20="Alta",H20&gt;3),"⚠ alta parada",""))))</f>
        <v/>
      </c>
      <c r="J20" s="4"/>
      <c r="K20" s="4"/>
      <c r="L20" s="4"/>
    </row>
    <row r="21" customFormat="false" ht="15" hidden="false" customHeight="false" outlineLevel="0" collapsed="false">
      <c r="A21" s="15"/>
      <c r="B21" s="15"/>
      <c r="C21" s="15"/>
      <c r="D21" s="15"/>
      <c r="E21" s="28"/>
      <c r="F21" s="28"/>
      <c r="G21" s="15" t="str">
        <f aca="false">IF(AND(D21="Feito",E21&lt;&gt;"",F21&lt;&gt;""),F21-E21,"")</f>
        <v/>
      </c>
      <c r="H21" s="15" t="str">
        <f aca="true">IF(OR(D21="Feito",E21=""),"",TODAY()-E21)</f>
        <v/>
      </c>
      <c r="I21" s="15" t="str">
        <f aca="false">IF(D21="Feito","",IF(H21="","",IF(H21&gt;7,"⚠ envelhecida",IF(AND(C21="Alta",H21&gt;3),"⚠ alta parada",""))))</f>
        <v/>
      </c>
      <c r="J21" s="4"/>
      <c r="K21" s="4"/>
      <c r="L21" s="4"/>
    </row>
    <row r="22" customFormat="false" ht="15" hidden="false" customHeight="false" outlineLevel="0" collapsed="false">
      <c r="A22" s="15"/>
      <c r="B22" s="15"/>
      <c r="C22" s="15"/>
      <c r="D22" s="15"/>
      <c r="E22" s="28"/>
      <c r="F22" s="28"/>
      <c r="G22" s="15" t="str">
        <f aca="false">IF(AND(D22="Feito",E22&lt;&gt;"",F22&lt;&gt;""),F22-E22,"")</f>
        <v/>
      </c>
      <c r="H22" s="15" t="str">
        <f aca="true">IF(OR(D22="Feito",E22=""),"",TODAY()-E22)</f>
        <v/>
      </c>
      <c r="I22" s="15" t="str">
        <f aca="false">IF(D22="Feito","",IF(H22="","",IF(H22&gt;7,"⚠ envelhecida",IF(AND(C22="Alta",H22&gt;3),"⚠ alta parada",""))))</f>
        <v/>
      </c>
      <c r="J22" s="4"/>
      <c r="K22" s="4"/>
      <c r="L22" s="4"/>
    </row>
    <row r="23" customFormat="false" ht="15" hidden="false" customHeight="false" outlineLevel="0" collapsed="false">
      <c r="A23" s="15"/>
      <c r="B23" s="15"/>
      <c r="C23" s="15"/>
      <c r="D23" s="15"/>
      <c r="E23" s="28"/>
      <c r="F23" s="28"/>
      <c r="G23" s="15" t="str">
        <f aca="false">IF(AND(D23="Feito",E23&lt;&gt;"",F23&lt;&gt;""),F23-E23,"")</f>
        <v/>
      </c>
      <c r="H23" s="15" t="str">
        <f aca="true">IF(OR(D23="Feito",E23=""),"",TODAY()-E23)</f>
        <v/>
      </c>
      <c r="I23" s="15" t="str">
        <f aca="false">IF(D23="Feito","",IF(H23="","",IF(H23&gt;7,"⚠ envelhecida",IF(AND(C23="Alta",H23&gt;3),"⚠ alta parada",""))))</f>
        <v/>
      </c>
      <c r="J23" s="4"/>
      <c r="K23" s="4"/>
      <c r="L23" s="4"/>
    </row>
    <row r="24" customFormat="false" ht="15" hidden="false" customHeight="false" outlineLevel="0" collapsed="false">
      <c r="A24" s="15"/>
      <c r="B24" s="15"/>
      <c r="C24" s="15"/>
      <c r="D24" s="15"/>
      <c r="E24" s="28"/>
      <c r="F24" s="28"/>
      <c r="G24" s="15" t="str">
        <f aca="false">IF(AND(D24="Feito",E24&lt;&gt;"",F24&lt;&gt;""),F24-E24,"")</f>
        <v/>
      </c>
      <c r="H24" s="15" t="str">
        <f aca="true">IF(OR(D24="Feito",E24=""),"",TODAY()-E24)</f>
        <v/>
      </c>
      <c r="I24" s="15" t="str">
        <f aca="false">IF(D24="Feito","",IF(H24="","",IF(H24&gt;7,"⚠ envelhecida",IF(AND(C24="Alta",H24&gt;3),"⚠ alta parada",""))))</f>
        <v/>
      </c>
      <c r="J24" s="4"/>
      <c r="K24" s="4"/>
      <c r="L24" s="4"/>
    </row>
    <row r="25" customFormat="false" ht="15" hidden="false" customHeight="false" outlineLevel="0" collapsed="false">
      <c r="A25" s="15"/>
      <c r="B25" s="15"/>
      <c r="C25" s="15"/>
      <c r="D25" s="15"/>
      <c r="E25" s="28"/>
      <c r="F25" s="28"/>
      <c r="G25" s="15" t="str">
        <f aca="false">IF(AND(D25="Feito",E25&lt;&gt;"",F25&lt;&gt;""),F25-E25,"")</f>
        <v/>
      </c>
      <c r="H25" s="15" t="str">
        <f aca="true">IF(OR(D25="Feito",E25=""),"",TODAY()-E25)</f>
        <v/>
      </c>
      <c r="I25" s="15" t="str">
        <f aca="false">IF(D25="Feito","",IF(H25="","",IF(H25&gt;7,"⚠ envelhecida",IF(AND(C25="Alta",H25&gt;3),"⚠ alta parada",""))))</f>
        <v/>
      </c>
      <c r="J25" s="4"/>
      <c r="K25" s="4"/>
      <c r="L25" s="4"/>
    </row>
    <row r="26" customFormat="false" ht="15" hidden="false" customHeight="false" outlineLevel="0" collapsed="false">
      <c r="A26" s="15"/>
      <c r="B26" s="15"/>
      <c r="C26" s="15"/>
      <c r="D26" s="15"/>
      <c r="E26" s="28"/>
      <c r="F26" s="28"/>
      <c r="G26" s="15" t="str">
        <f aca="false">IF(AND(D26="Feito",E26&lt;&gt;"",F26&lt;&gt;""),F26-E26,"")</f>
        <v/>
      </c>
      <c r="H26" s="15" t="str">
        <f aca="true">IF(OR(D26="Feito",E26=""),"",TODAY()-E26)</f>
        <v/>
      </c>
      <c r="I26" s="15" t="str">
        <f aca="false">IF(D26="Feito","",IF(H26="","",IF(H26&gt;7,"⚠ envelhecida",IF(AND(C26="Alta",H26&gt;3),"⚠ alta parada",""))))</f>
        <v/>
      </c>
      <c r="J26" s="4"/>
      <c r="K26" s="4"/>
      <c r="L26" s="4"/>
    </row>
    <row r="27" customFormat="false" ht="15" hidden="false" customHeight="false" outlineLevel="0" collapsed="false">
      <c r="A27" s="15"/>
      <c r="B27" s="15"/>
      <c r="C27" s="15"/>
      <c r="D27" s="15"/>
      <c r="E27" s="28"/>
      <c r="F27" s="28"/>
      <c r="G27" s="15" t="str">
        <f aca="false">IF(AND(D27="Feito",E27&lt;&gt;"",F27&lt;&gt;""),F27-E27,"")</f>
        <v/>
      </c>
      <c r="H27" s="15" t="str">
        <f aca="true">IF(OR(D27="Feito",E27=""),"",TODAY()-E27)</f>
        <v/>
      </c>
      <c r="I27" s="15" t="str">
        <f aca="false">IF(D27="Feito","",IF(H27="","",IF(H27&gt;7,"⚠ envelhecida",IF(AND(C27="Alta",H27&gt;3),"⚠ alta parada",""))))</f>
        <v/>
      </c>
      <c r="J27" s="4"/>
      <c r="K27" s="4"/>
      <c r="L27" s="4"/>
    </row>
    <row r="28" customFormat="false" ht="15" hidden="false" customHeight="false" outlineLevel="0" collapsed="false">
      <c r="A28" s="15"/>
      <c r="B28" s="15"/>
      <c r="C28" s="15"/>
      <c r="D28" s="15"/>
      <c r="E28" s="28"/>
      <c r="F28" s="28"/>
      <c r="G28" s="15" t="str">
        <f aca="false">IF(AND(D28="Feito",E28&lt;&gt;"",F28&lt;&gt;""),F28-E28,"")</f>
        <v/>
      </c>
      <c r="H28" s="15" t="str">
        <f aca="true">IF(OR(D28="Feito",E28=""),"",TODAY()-E28)</f>
        <v/>
      </c>
      <c r="I28" s="15" t="str">
        <f aca="false">IF(D28="Feito","",IF(H28="","",IF(H28&gt;7,"⚠ envelhecida",IF(AND(C28="Alta",H28&gt;3),"⚠ alta parada",""))))</f>
        <v/>
      </c>
      <c r="J28" s="4"/>
      <c r="K28" s="4"/>
      <c r="L28" s="4"/>
    </row>
    <row r="29" customFormat="false" ht="15" hidden="false" customHeight="false" outlineLevel="0" collapsed="false">
      <c r="A29" s="15"/>
      <c r="B29" s="15"/>
      <c r="C29" s="15"/>
      <c r="D29" s="15"/>
      <c r="E29" s="28"/>
      <c r="F29" s="28"/>
      <c r="G29" s="15" t="str">
        <f aca="false">IF(AND(D29="Feito",E29&lt;&gt;"",F29&lt;&gt;""),F29-E29,"")</f>
        <v/>
      </c>
      <c r="H29" s="15" t="str">
        <f aca="true">IF(OR(D29="Feito",E29=""),"",TODAY()-E29)</f>
        <v/>
      </c>
      <c r="I29" s="15" t="str">
        <f aca="false">IF(D29="Feito","",IF(H29="","",IF(H29&gt;7,"⚠ envelhecida",IF(AND(C29="Alta",H29&gt;3),"⚠ alta parada",""))))</f>
        <v/>
      </c>
      <c r="J29" s="4"/>
      <c r="K29" s="4"/>
      <c r="L29" s="4"/>
    </row>
    <row r="30" customFormat="false" ht="15" hidden="false" customHeight="false" outlineLevel="0" collapsed="false">
      <c r="A30" s="15"/>
      <c r="B30" s="15"/>
      <c r="C30" s="15"/>
      <c r="D30" s="15"/>
      <c r="E30" s="28"/>
      <c r="F30" s="28"/>
      <c r="G30" s="15" t="str">
        <f aca="false">IF(AND(D30="Feito",E30&lt;&gt;"",F30&lt;&gt;""),F30-E30,"")</f>
        <v/>
      </c>
      <c r="H30" s="15" t="str">
        <f aca="true">IF(OR(D30="Feito",E30=""),"",TODAY()-E30)</f>
        <v/>
      </c>
      <c r="I30" s="15" t="str">
        <f aca="false">IF(D30="Feito","",IF(H30="","",IF(H30&gt;7,"⚠ envelhecida",IF(AND(C30="Alta",H30&gt;3),"⚠ alta parada",""))))</f>
        <v/>
      </c>
      <c r="J30" s="4"/>
      <c r="K30" s="4"/>
      <c r="L30" s="4"/>
    </row>
    <row r="31" customFormat="false" ht="15" hidden="false" customHeight="false" outlineLevel="0" collapsed="false">
      <c r="A31" s="15"/>
      <c r="B31" s="15"/>
      <c r="C31" s="15"/>
      <c r="D31" s="15"/>
      <c r="E31" s="28"/>
      <c r="F31" s="28"/>
      <c r="G31" s="15" t="str">
        <f aca="false">IF(AND(D31="Feito",E31&lt;&gt;"",F31&lt;&gt;""),F31-E31,"")</f>
        <v/>
      </c>
      <c r="H31" s="15" t="str">
        <f aca="true">IF(OR(D31="Feito",E31=""),"",TODAY()-E31)</f>
        <v/>
      </c>
      <c r="I31" s="15" t="str">
        <f aca="false">IF(D31="Feito","",IF(H31="","",IF(H31&gt;7,"⚠ envelhecida",IF(AND(C31="Alta",H31&gt;3),"⚠ alta parada",""))))</f>
        <v/>
      </c>
      <c r="J31" s="4"/>
      <c r="K31" s="4"/>
      <c r="L31" s="4"/>
    </row>
    <row r="32" customFormat="false" ht="15" hidden="false" customHeight="false" outlineLevel="0" collapsed="false">
      <c r="A32" s="15"/>
      <c r="B32" s="15"/>
      <c r="C32" s="15"/>
      <c r="D32" s="15"/>
      <c r="E32" s="28"/>
      <c r="F32" s="28"/>
      <c r="G32" s="15" t="str">
        <f aca="false">IF(AND(D32="Feito",E32&lt;&gt;"",F32&lt;&gt;""),F32-E32,"")</f>
        <v/>
      </c>
      <c r="H32" s="15" t="str">
        <f aca="true">IF(OR(D32="Feito",E32=""),"",TODAY()-E32)</f>
        <v/>
      </c>
      <c r="I32" s="15" t="str">
        <f aca="false">IF(D32="Feito","",IF(H32="","",IF(H32&gt;7,"⚠ envelhecida",IF(AND(C32="Alta",H32&gt;3),"⚠ alta parada",""))))</f>
        <v/>
      </c>
      <c r="J32" s="4"/>
      <c r="K32" s="4"/>
      <c r="L32" s="4"/>
    </row>
    <row r="33" customFormat="false" ht="15" hidden="false" customHeight="false" outlineLevel="0" collapsed="false">
      <c r="A33" s="15"/>
      <c r="B33" s="15"/>
      <c r="C33" s="15"/>
      <c r="D33" s="15"/>
      <c r="E33" s="28"/>
      <c r="F33" s="28"/>
      <c r="G33" s="15" t="str">
        <f aca="false">IF(AND(D33="Feito",E33&lt;&gt;"",F33&lt;&gt;""),F33-E33,"")</f>
        <v/>
      </c>
      <c r="H33" s="15" t="str">
        <f aca="true">IF(OR(D33="Feito",E33=""),"",TODAY()-E33)</f>
        <v/>
      </c>
      <c r="I33" s="15" t="str">
        <f aca="false">IF(D33="Feito","",IF(H33="","",IF(H33&gt;7,"⚠ envelhecida",IF(AND(C33="Alta",H33&gt;3),"⚠ alta parada",""))))</f>
        <v/>
      </c>
      <c r="J33" s="4"/>
      <c r="K33" s="4"/>
      <c r="L33" s="4"/>
    </row>
    <row r="34" customFormat="false" ht="15" hidden="false" customHeight="false" outlineLevel="0" collapsed="false">
      <c r="A34" s="15"/>
      <c r="B34" s="15"/>
      <c r="C34" s="15"/>
      <c r="D34" s="15"/>
      <c r="E34" s="28"/>
      <c r="F34" s="28"/>
      <c r="G34" s="15" t="str">
        <f aca="false">IF(AND(D34="Feito",E34&lt;&gt;"",F34&lt;&gt;""),F34-E34,"")</f>
        <v/>
      </c>
      <c r="H34" s="15" t="str">
        <f aca="true">IF(OR(D34="Feito",E34=""),"",TODAY()-E34)</f>
        <v/>
      </c>
      <c r="I34" s="15" t="str">
        <f aca="false">IF(D34="Feito","",IF(H34="","",IF(H34&gt;7,"⚠ envelhecida",IF(AND(C34="Alta",H34&gt;3),"⚠ alta parada",""))))</f>
        <v/>
      </c>
      <c r="J34" s="4"/>
      <c r="K34" s="4"/>
      <c r="L34" s="4"/>
    </row>
    <row r="35" customFormat="false" ht="15" hidden="false" customHeight="false" outlineLevel="0" collapsed="false">
      <c r="A35" s="15"/>
      <c r="B35" s="15"/>
      <c r="C35" s="15"/>
      <c r="D35" s="15"/>
      <c r="E35" s="28"/>
      <c r="F35" s="28"/>
      <c r="G35" s="15" t="str">
        <f aca="false">IF(AND(D35="Feito",E35&lt;&gt;"",F35&lt;&gt;""),F35-E35,"")</f>
        <v/>
      </c>
      <c r="H35" s="15" t="str">
        <f aca="true">IF(OR(D35="Feito",E35=""),"",TODAY()-E35)</f>
        <v/>
      </c>
      <c r="I35" s="15" t="str">
        <f aca="false">IF(D35="Feito","",IF(H35="","",IF(H35&gt;7,"⚠ envelhecida",IF(AND(C35="Alta",H35&gt;3),"⚠ alta parada",""))))</f>
        <v/>
      </c>
      <c r="J35" s="4"/>
      <c r="K35" s="4"/>
      <c r="L35" s="4"/>
    </row>
    <row r="36" customFormat="false" ht="15" hidden="false" customHeight="false" outlineLevel="0" collapsed="false">
      <c r="A36" s="15"/>
      <c r="B36" s="15"/>
      <c r="C36" s="15"/>
      <c r="D36" s="15"/>
      <c r="E36" s="28"/>
      <c r="F36" s="28"/>
      <c r="G36" s="15" t="str">
        <f aca="false">IF(AND(D36="Feito",E36&lt;&gt;"",F36&lt;&gt;""),F36-E36,"")</f>
        <v/>
      </c>
      <c r="H36" s="15" t="str">
        <f aca="true">IF(OR(D36="Feito",E36=""),"",TODAY()-E36)</f>
        <v/>
      </c>
      <c r="I36" s="15" t="str">
        <f aca="false">IF(D36="Feito","",IF(H36="","",IF(H36&gt;7,"⚠ envelhecida",IF(AND(C36="Alta",H36&gt;3),"⚠ alta parada",""))))</f>
        <v/>
      </c>
      <c r="J36" s="4"/>
      <c r="K36" s="4"/>
      <c r="L36" s="4"/>
    </row>
    <row r="37" customFormat="false" ht="15" hidden="false" customHeight="false" outlineLevel="0" collapsed="false">
      <c r="A37" s="15"/>
      <c r="B37" s="15"/>
      <c r="C37" s="15"/>
      <c r="D37" s="15"/>
      <c r="E37" s="28"/>
      <c r="F37" s="28"/>
      <c r="G37" s="15" t="str">
        <f aca="false">IF(AND(D37="Feito",E37&lt;&gt;"",F37&lt;&gt;""),F37-E37,"")</f>
        <v/>
      </c>
      <c r="H37" s="15" t="str">
        <f aca="true">IF(OR(D37="Feito",E37=""),"",TODAY()-E37)</f>
        <v/>
      </c>
      <c r="I37" s="15" t="str">
        <f aca="false">IF(D37="Feito","",IF(H37="","",IF(H37&gt;7,"⚠ envelhecida",IF(AND(C37="Alta",H37&gt;3),"⚠ alta parada",""))))</f>
        <v/>
      </c>
      <c r="J37" s="4"/>
      <c r="K37" s="4"/>
      <c r="L37" s="4"/>
    </row>
    <row r="38" customFormat="false" ht="15" hidden="false" customHeight="false" outlineLevel="0" collapsed="false">
      <c r="A38" s="15"/>
      <c r="B38" s="15"/>
      <c r="C38" s="15"/>
      <c r="D38" s="15"/>
      <c r="E38" s="28"/>
      <c r="F38" s="28"/>
      <c r="G38" s="15" t="str">
        <f aca="false">IF(AND(D38="Feito",E38&lt;&gt;"",F38&lt;&gt;""),F38-E38,"")</f>
        <v/>
      </c>
      <c r="H38" s="15" t="str">
        <f aca="true">IF(OR(D38="Feito",E38=""),"",TODAY()-E38)</f>
        <v/>
      </c>
      <c r="I38" s="15" t="str">
        <f aca="false">IF(D38="Feito","",IF(H38="","",IF(H38&gt;7,"⚠ envelhecida",IF(AND(C38="Alta",H38&gt;3),"⚠ alta parada",""))))</f>
        <v/>
      </c>
      <c r="J38" s="4"/>
      <c r="K38" s="4"/>
      <c r="L38" s="4"/>
    </row>
    <row r="39" customFormat="false" ht="15" hidden="false" customHeight="false" outlineLevel="0" collapsed="false">
      <c r="A39" s="15"/>
      <c r="B39" s="15"/>
      <c r="C39" s="15"/>
      <c r="D39" s="15"/>
      <c r="E39" s="28"/>
      <c r="F39" s="28"/>
      <c r="G39" s="15" t="str">
        <f aca="false">IF(AND(D39="Feito",E39&lt;&gt;"",F39&lt;&gt;""),F39-E39,"")</f>
        <v/>
      </c>
      <c r="H39" s="15" t="str">
        <f aca="true">IF(OR(D39="Feito",E39=""),"",TODAY()-E39)</f>
        <v/>
      </c>
      <c r="I39" s="15" t="str">
        <f aca="false">IF(D39="Feito","",IF(H39="","",IF(H39&gt;7,"⚠ envelhecida",IF(AND(C39="Alta",H39&gt;3),"⚠ alta parada",""))))</f>
        <v/>
      </c>
      <c r="J39" s="4"/>
      <c r="K39" s="4"/>
      <c r="L39" s="4"/>
    </row>
    <row r="40" customFormat="false" ht="15" hidden="false" customHeight="false" outlineLevel="0" collapsed="false">
      <c r="A40" s="15"/>
      <c r="B40" s="15"/>
      <c r="C40" s="15"/>
      <c r="D40" s="15"/>
      <c r="E40" s="28"/>
      <c r="F40" s="28"/>
      <c r="G40" s="15" t="str">
        <f aca="false">IF(AND(D40="Feito",E40&lt;&gt;"",F40&lt;&gt;""),F40-E40,"")</f>
        <v/>
      </c>
      <c r="H40" s="15" t="str">
        <f aca="true">IF(OR(D40="Feito",E40=""),"",TODAY()-E40)</f>
        <v/>
      </c>
      <c r="I40" s="15" t="str">
        <f aca="false">IF(D40="Feito","",IF(H40="","",IF(H40&gt;7,"⚠ envelhecida",IF(AND(C40="Alta",H40&gt;3),"⚠ alta parada",""))))</f>
        <v/>
      </c>
      <c r="J40" s="4"/>
      <c r="K40" s="4"/>
      <c r="L40" s="4"/>
    </row>
    <row r="41" customFormat="false" ht="15" hidden="false" customHeight="false" outlineLevel="0" collapsed="false">
      <c r="A41" s="15"/>
      <c r="B41" s="15"/>
      <c r="C41" s="15"/>
      <c r="D41" s="15"/>
      <c r="E41" s="28"/>
      <c r="F41" s="28"/>
      <c r="G41" s="15" t="str">
        <f aca="false">IF(AND(D41="Feito",E41&lt;&gt;"",F41&lt;&gt;""),F41-E41,"")</f>
        <v/>
      </c>
      <c r="H41" s="15" t="str">
        <f aca="true">IF(OR(D41="Feito",E41=""),"",TODAY()-E41)</f>
        <v/>
      </c>
      <c r="I41" s="15" t="str">
        <f aca="false">IF(D41="Feito","",IF(H41="","",IF(H41&gt;7,"⚠ envelhecida",IF(AND(C41="Alta",H41&gt;3),"⚠ alta parada",""))))</f>
        <v/>
      </c>
      <c r="J41" s="4"/>
      <c r="K41" s="4"/>
      <c r="L41" s="4"/>
    </row>
    <row r="42" customFormat="false" ht="15" hidden="false" customHeight="false" outlineLevel="0" collapsed="false">
      <c r="A42" s="15"/>
      <c r="B42" s="15"/>
      <c r="C42" s="15"/>
      <c r="D42" s="15"/>
      <c r="E42" s="28"/>
      <c r="F42" s="28"/>
      <c r="G42" s="15" t="str">
        <f aca="false">IF(AND(D42="Feito",E42&lt;&gt;"",F42&lt;&gt;""),F42-E42,"")</f>
        <v/>
      </c>
      <c r="H42" s="15" t="str">
        <f aca="true">IF(OR(D42="Feito",E42=""),"",TODAY()-E42)</f>
        <v/>
      </c>
      <c r="I42" s="15" t="str">
        <f aca="false">IF(D42="Feito","",IF(H42="","",IF(H42&gt;7,"⚠ envelhecida",IF(AND(C42="Alta",H42&gt;3),"⚠ alta parada",""))))</f>
        <v/>
      </c>
      <c r="J42" s="4"/>
      <c r="K42" s="4"/>
      <c r="L42" s="4"/>
    </row>
    <row r="43" customFormat="false" ht="15" hidden="false" customHeight="false" outlineLevel="0" collapsed="false">
      <c r="A43" s="15"/>
      <c r="B43" s="15"/>
      <c r="C43" s="15"/>
      <c r="D43" s="15"/>
      <c r="E43" s="28"/>
      <c r="F43" s="28"/>
      <c r="G43" s="15" t="str">
        <f aca="false">IF(AND(D43="Feito",E43&lt;&gt;"",F43&lt;&gt;""),F43-E43,"")</f>
        <v/>
      </c>
      <c r="H43" s="15" t="str">
        <f aca="true">IF(OR(D43="Feito",E43=""),"",TODAY()-E43)</f>
        <v/>
      </c>
      <c r="I43" s="15" t="str">
        <f aca="false">IF(D43="Feito","",IF(H43="","",IF(H43&gt;7,"⚠ envelhecida",IF(AND(C43="Alta",H43&gt;3),"⚠ alta parada",""))))</f>
        <v/>
      </c>
      <c r="J43" s="4"/>
      <c r="K43" s="4"/>
      <c r="L43" s="4"/>
    </row>
    <row r="44" customFormat="false" ht="15" hidden="false" customHeight="false" outlineLevel="0" collapsed="false">
      <c r="A44" s="15"/>
      <c r="B44" s="15"/>
      <c r="C44" s="15"/>
      <c r="D44" s="15"/>
      <c r="E44" s="28"/>
      <c r="F44" s="28"/>
      <c r="G44" s="15" t="str">
        <f aca="false">IF(AND(D44="Feito",E44&lt;&gt;"",F44&lt;&gt;""),F44-E44,"")</f>
        <v/>
      </c>
      <c r="H44" s="15" t="str">
        <f aca="true">IF(OR(D44="Feito",E44=""),"",TODAY()-E44)</f>
        <v/>
      </c>
      <c r="I44" s="15" t="str">
        <f aca="false">IF(D44="Feito","",IF(H44="","",IF(H44&gt;7,"⚠ envelhecida",IF(AND(C44="Alta",H44&gt;3),"⚠ alta parada",""))))</f>
        <v/>
      </c>
      <c r="J44" s="4"/>
      <c r="K44" s="4"/>
      <c r="L44" s="4"/>
    </row>
    <row r="45" customFormat="false" ht="15" hidden="false" customHeight="false" outlineLevel="0" collapsed="false">
      <c r="A45" s="15"/>
      <c r="B45" s="15"/>
      <c r="C45" s="15"/>
      <c r="D45" s="15"/>
      <c r="E45" s="28"/>
      <c r="F45" s="28"/>
      <c r="G45" s="15" t="str">
        <f aca="false">IF(AND(D45="Feito",E45&lt;&gt;"",F45&lt;&gt;""),F45-E45,"")</f>
        <v/>
      </c>
      <c r="H45" s="15" t="str">
        <f aca="true">IF(OR(D45="Feito",E45=""),"",TODAY()-E45)</f>
        <v/>
      </c>
      <c r="I45" s="15" t="str">
        <f aca="false">IF(D45="Feito","",IF(H45="","",IF(H45&gt;7,"⚠ envelhecida",IF(AND(C45="Alta",H45&gt;3),"⚠ alta parada",""))))</f>
        <v/>
      </c>
      <c r="J45" s="4"/>
      <c r="K45" s="4"/>
      <c r="L45" s="4"/>
    </row>
    <row r="46" customFormat="false" ht="15" hidden="false" customHeight="false" outlineLevel="0" collapsed="false">
      <c r="A46" s="15"/>
      <c r="B46" s="15"/>
      <c r="C46" s="15"/>
      <c r="D46" s="15"/>
      <c r="E46" s="28"/>
      <c r="F46" s="28"/>
      <c r="G46" s="15" t="str">
        <f aca="false">IF(AND(D46="Feito",E46&lt;&gt;"",F46&lt;&gt;""),F46-E46,"")</f>
        <v/>
      </c>
      <c r="H46" s="15" t="str">
        <f aca="true">IF(OR(D46="Feito",E46=""),"",TODAY()-E46)</f>
        <v/>
      </c>
      <c r="I46" s="15" t="str">
        <f aca="false">IF(D46="Feito","",IF(H46="","",IF(H46&gt;7,"⚠ envelhecida",IF(AND(C46="Alta",H46&gt;3),"⚠ alta parada",""))))</f>
        <v/>
      </c>
      <c r="J46" s="4"/>
      <c r="K46" s="4"/>
      <c r="L46" s="4"/>
    </row>
    <row r="47" customFormat="false" ht="15" hidden="false" customHeight="false" outlineLevel="0" collapsed="false">
      <c r="A47" s="15"/>
      <c r="B47" s="15"/>
      <c r="C47" s="15"/>
      <c r="D47" s="15"/>
      <c r="E47" s="28"/>
      <c r="F47" s="28"/>
      <c r="G47" s="15" t="str">
        <f aca="false">IF(AND(D47="Feito",E47&lt;&gt;"",F47&lt;&gt;""),F47-E47,"")</f>
        <v/>
      </c>
      <c r="H47" s="15" t="str">
        <f aca="true">IF(OR(D47="Feito",E47=""),"",TODAY()-E47)</f>
        <v/>
      </c>
      <c r="I47" s="15" t="str">
        <f aca="false">IF(D47="Feito","",IF(H47="","",IF(H47&gt;7,"⚠ envelhecida",IF(AND(C47="Alta",H47&gt;3),"⚠ alta parada",""))))</f>
        <v/>
      </c>
      <c r="J47" s="4"/>
      <c r="K47" s="4"/>
      <c r="L47" s="4"/>
    </row>
    <row r="48" customFormat="false" ht="15" hidden="false" customHeight="false" outlineLevel="0" collapsed="false">
      <c r="A48" s="15"/>
      <c r="B48" s="15"/>
      <c r="C48" s="15"/>
      <c r="D48" s="15"/>
      <c r="E48" s="28"/>
      <c r="F48" s="28"/>
      <c r="G48" s="15" t="str">
        <f aca="false">IF(AND(D48="Feito",E48&lt;&gt;"",F48&lt;&gt;""),F48-E48,"")</f>
        <v/>
      </c>
      <c r="H48" s="15" t="str">
        <f aca="true">IF(OR(D48="Feito",E48=""),"",TODAY()-E48)</f>
        <v/>
      </c>
      <c r="I48" s="15" t="str">
        <f aca="false">IF(D48="Feito","",IF(H48="","",IF(H48&gt;7,"⚠ envelhecida",IF(AND(C48="Alta",H48&gt;3),"⚠ alta parada",""))))</f>
        <v/>
      </c>
      <c r="J48" s="4"/>
      <c r="K48" s="4"/>
      <c r="L48" s="4"/>
    </row>
    <row r="49" customFormat="false" ht="15" hidden="false" customHeight="false" outlineLevel="0" collapsed="false">
      <c r="A49" s="15"/>
      <c r="B49" s="15"/>
      <c r="C49" s="15"/>
      <c r="D49" s="15"/>
      <c r="E49" s="28"/>
      <c r="F49" s="28"/>
      <c r="G49" s="15" t="str">
        <f aca="false">IF(AND(D49="Feito",E49&lt;&gt;"",F49&lt;&gt;""),F49-E49,"")</f>
        <v/>
      </c>
      <c r="H49" s="15" t="str">
        <f aca="true">IF(OR(D49="Feito",E49=""),"",TODAY()-E49)</f>
        <v/>
      </c>
      <c r="I49" s="15" t="str">
        <f aca="false">IF(D49="Feito","",IF(H49="","",IF(H49&gt;7,"⚠ envelhecida",IF(AND(C49="Alta",H49&gt;3),"⚠ alta parada",""))))</f>
        <v/>
      </c>
      <c r="J49" s="4"/>
      <c r="K49" s="4"/>
      <c r="L49" s="4"/>
    </row>
    <row r="50" customFormat="false" ht="15" hidden="false" customHeight="false" outlineLevel="0" collapsed="false">
      <c r="A50" s="15"/>
      <c r="B50" s="15"/>
      <c r="C50" s="15"/>
      <c r="D50" s="15"/>
      <c r="E50" s="28"/>
      <c r="F50" s="28"/>
      <c r="G50" s="15" t="str">
        <f aca="false">IF(AND(D50="Feito",E50&lt;&gt;"",F50&lt;&gt;""),F50-E50,"")</f>
        <v/>
      </c>
      <c r="H50" s="15" t="str">
        <f aca="true">IF(OR(D50="Feito",E50=""),"",TODAY()-E50)</f>
        <v/>
      </c>
      <c r="I50" s="15" t="str">
        <f aca="false">IF(D50="Feito","",IF(H50="","",IF(H50&gt;7,"⚠ envelhecida",IF(AND(C50="Alta",H50&gt;3),"⚠ alta parada",""))))</f>
        <v/>
      </c>
      <c r="J50" s="4"/>
      <c r="K50" s="4"/>
      <c r="L50" s="4"/>
    </row>
    <row r="51" customFormat="false" ht="15" hidden="false" customHeight="false" outlineLevel="0" collapsed="false">
      <c r="A51" s="15"/>
      <c r="B51" s="15"/>
      <c r="C51" s="15"/>
      <c r="D51" s="15"/>
      <c r="E51" s="28"/>
      <c r="F51" s="28"/>
      <c r="G51" s="15" t="str">
        <f aca="false">IF(AND(D51="Feito",E51&lt;&gt;"",F51&lt;&gt;""),F51-E51,"")</f>
        <v/>
      </c>
      <c r="H51" s="15" t="str">
        <f aca="true">IF(OR(D51="Feito",E51=""),"",TODAY()-E51)</f>
        <v/>
      </c>
      <c r="I51" s="15" t="str">
        <f aca="false">IF(D51="Feito","",IF(H51="","",IF(H51&gt;7,"⚠ envelhecida",IF(AND(C51="Alta",H51&gt;3),"⚠ alta parada",""))))</f>
        <v/>
      </c>
      <c r="J51" s="4"/>
      <c r="K51" s="4"/>
      <c r="L51" s="4"/>
    </row>
    <row r="52" customFormat="false" ht="15" hidden="false" customHeight="false" outlineLevel="0" collapsed="false">
      <c r="A52" s="15"/>
      <c r="B52" s="15"/>
      <c r="C52" s="15"/>
      <c r="D52" s="15"/>
      <c r="E52" s="28"/>
      <c r="F52" s="28"/>
      <c r="G52" s="15" t="str">
        <f aca="false">IF(AND(D52="Feito",E52&lt;&gt;"",F52&lt;&gt;""),F52-E52,"")</f>
        <v/>
      </c>
      <c r="H52" s="15" t="str">
        <f aca="true">IF(OR(D52="Feito",E52=""),"",TODAY()-E52)</f>
        <v/>
      </c>
      <c r="I52" s="15" t="str">
        <f aca="false">IF(D52="Feito","",IF(H52="","",IF(H52&gt;7,"⚠ envelhecida",IF(AND(C52="Alta",H52&gt;3),"⚠ alta parada",""))))</f>
        <v/>
      </c>
      <c r="J52" s="4"/>
      <c r="K52" s="4"/>
      <c r="L52" s="4"/>
    </row>
    <row r="53" customFormat="false" ht="15" hidden="false" customHeight="false" outlineLevel="0" collapsed="false">
      <c r="A53" s="15"/>
      <c r="B53" s="15"/>
      <c r="C53" s="15"/>
      <c r="D53" s="15"/>
      <c r="E53" s="28"/>
      <c r="F53" s="28"/>
      <c r="G53" s="15" t="str">
        <f aca="false">IF(AND(D53="Feito",E53&lt;&gt;"",F53&lt;&gt;""),F53-E53,"")</f>
        <v/>
      </c>
      <c r="H53" s="15" t="str">
        <f aca="true">IF(OR(D53="Feito",E53=""),"",TODAY()-E53)</f>
        <v/>
      </c>
      <c r="I53" s="15" t="str">
        <f aca="false">IF(D53="Feito","",IF(H53="","",IF(H53&gt;7,"⚠ envelhecida",IF(AND(C53="Alta",H53&gt;3),"⚠ alta parada",""))))</f>
        <v/>
      </c>
      <c r="J53" s="4"/>
      <c r="K53" s="4"/>
      <c r="L53" s="4"/>
    </row>
    <row r="54" customFormat="false" ht="15" hidden="false" customHeight="false" outlineLevel="0" collapsed="false">
      <c r="A54" s="15"/>
      <c r="B54" s="15"/>
      <c r="C54" s="15"/>
      <c r="D54" s="15"/>
      <c r="E54" s="28"/>
      <c r="F54" s="28"/>
      <c r="G54" s="15" t="str">
        <f aca="false">IF(AND(D54="Feito",E54&lt;&gt;"",F54&lt;&gt;""),F54-E54,"")</f>
        <v/>
      </c>
      <c r="H54" s="15" t="str">
        <f aca="true">IF(OR(D54="Feito",E54=""),"",TODAY()-E54)</f>
        <v/>
      </c>
      <c r="I54" s="15" t="str">
        <f aca="false">IF(D54="Feito","",IF(H54="","",IF(H54&gt;7,"⚠ envelhecida",IF(AND(C54="Alta",H54&gt;3),"⚠ alta parada",""))))</f>
        <v/>
      </c>
      <c r="J54" s="4"/>
      <c r="K54" s="4"/>
      <c r="L54" s="4"/>
    </row>
    <row r="55" customFormat="false" ht="15" hidden="false" customHeight="false" outlineLevel="0" collapsed="false">
      <c r="A55" s="15"/>
      <c r="B55" s="15"/>
      <c r="C55" s="15"/>
      <c r="D55" s="15"/>
      <c r="E55" s="28"/>
      <c r="F55" s="28"/>
      <c r="G55" s="15" t="str">
        <f aca="false">IF(AND(D55="Feito",E55&lt;&gt;"",F55&lt;&gt;""),F55-E55,"")</f>
        <v/>
      </c>
      <c r="H55" s="15" t="str">
        <f aca="true">IF(OR(D55="Feito",E55=""),"",TODAY()-E55)</f>
        <v/>
      </c>
      <c r="I55" s="15" t="str">
        <f aca="false">IF(D55="Feito","",IF(H55="","",IF(H55&gt;7,"⚠ envelhecida",IF(AND(C55="Alta",H55&gt;3),"⚠ alta parada",""))))</f>
        <v/>
      </c>
      <c r="J55" s="4"/>
      <c r="K55" s="4"/>
      <c r="L55" s="4"/>
    </row>
    <row r="56" customFormat="false" ht="15" hidden="false" customHeight="false" outlineLevel="0" collapsed="false">
      <c r="A56" s="15"/>
      <c r="B56" s="15"/>
      <c r="C56" s="15"/>
      <c r="D56" s="15"/>
      <c r="E56" s="28"/>
      <c r="F56" s="28"/>
      <c r="G56" s="15" t="str">
        <f aca="false">IF(AND(D56="Feito",E56&lt;&gt;"",F56&lt;&gt;""),F56-E56,"")</f>
        <v/>
      </c>
      <c r="H56" s="15" t="str">
        <f aca="true">IF(OR(D56="Feito",E56=""),"",TODAY()-E56)</f>
        <v/>
      </c>
      <c r="I56" s="15" t="str">
        <f aca="false">IF(D56="Feito","",IF(H56="","",IF(H56&gt;7,"⚠ envelhecida",IF(AND(C56="Alta",H56&gt;3),"⚠ alta parada",""))))</f>
        <v/>
      </c>
      <c r="J56" s="4"/>
      <c r="K56" s="4"/>
      <c r="L56" s="4"/>
    </row>
    <row r="57" customFormat="false" ht="15" hidden="false" customHeight="false" outlineLevel="0" collapsed="false">
      <c r="A57" s="15"/>
      <c r="B57" s="15"/>
      <c r="C57" s="15"/>
      <c r="D57" s="15"/>
      <c r="E57" s="28"/>
      <c r="F57" s="28"/>
      <c r="G57" s="15" t="str">
        <f aca="false">IF(AND(D57="Feito",E57&lt;&gt;"",F57&lt;&gt;""),F57-E57,"")</f>
        <v/>
      </c>
      <c r="H57" s="15" t="str">
        <f aca="true">IF(OR(D57="Feito",E57=""),"",TODAY()-E57)</f>
        <v/>
      </c>
      <c r="I57" s="15" t="str">
        <f aca="false">IF(D57="Feito","",IF(H57="","",IF(H57&gt;7,"⚠ envelhecida",IF(AND(C57="Alta",H57&gt;3),"⚠ alta parada",""))))</f>
        <v/>
      </c>
      <c r="J57" s="4"/>
      <c r="K57" s="4"/>
      <c r="L57" s="4"/>
    </row>
    <row r="58" customFormat="false" ht="15" hidden="false" customHeight="false" outlineLevel="0" collapsed="false">
      <c r="A58" s="15"/>
      <c r="B58" s="15"/>
      <c r="C58" s="15"/>
      <c r="D58" s="15"/>
      <c r="E58" s="28"/>
      <c r="F58" s="28"/>
      <c r="G58" s="15" t="str">
        <f aca="false">IF(AND(D58="Feito",E58&lt;&gt;"",F58&lt;&gt;""),F58-E58,"")</f>
        <v/>
      </c>
      <c r="H58" s="15" t="str">
        <f aca="true">IF(OR(D58="Feito",E58=""),"",TODAY()-E58)</f>
        <v/>
      </c>
      <c r="I58" s="15" t="str">
        <f aca="false">IF(D58="Feito","",IF(H58="","",IF(H58&gt;7,"⚠ envelhecida",IF(AND(C58="Alta",H58&gt;3),"⚠ alta parada",""))))</f>
        <v/>
      </c>
      <c r="J58" s="4"/>
      <c r="K58" s="4"/>
      <c r="L58" s="4"/>
    </row>
    <row r="59" customFormat="false" ht="15" hidden="false" customHeight="false" outlineLevel="0" collapsed="false">
      <c r="A59" s="15"/>
      <c r="B59" s="15"/>
      <c r="C59" s="15"/>
      <c r="D59" s="15"/>
      <c r="E59" s="28"/>
      <c r="F59" s="28"/>
      <c r="G59" s="15" t="str">
        <f aca="false">IF(AND(D59="Feito",E59&lt;&gt;"",F59&lt;&gt;""),F59-E59,"")</f>
        <v/>
      </c>
      <c r="H59" s="15" t="str">
        <f aca="true">IF(OR(D59="Feito",E59=""),"",TODAY()-E59)</f>
        <v/>
      </c>
      <c r="I59" s="15" t="str">
        <f aca="false">IF(D59="Feito","",IF(H59="","",IF(H59&gt;7,"⚠ envelhecida",IF(AND(C59="Alta",H59&gt;3),"⚠ alta parada",""))))</f>
        <v/>
      </c>
      <c r="J59" s="4"/>
      <c r="K59" s="4"/>
      <c r="L59" s="4"/>
    </row>
    <row r="60" customFormat="false" ht="15" hidden="false" customHeight="false" outlineLevel="0" collapsed="false">
      <c r="A60" s="15"/>
      <c r="B60" s="15"/>
      <c r="C60" s="15"/>
      <c r="D60" s="15"/>
      <c r="E60" s="28"/>
      <c r="F60" s="28"/>
      <c r="G60" s="15" t="str">
        <f aca="false">IF(AND(D60="Feito",E60&lt;&gt;"",F60&lt;&gt;""),F60-E60,"")</f>
        <v/>
      </c>
      <c r="H60" s="15" t="str">
        <f aca="true">IF(OR(D60="Feito",E60=""),"",TODAY()-E60)</f>
        <v/>
      </c>
      <c r="I60" s="15" t="str">
        <f aca="false">IF(D60="Feito","",IF(H60="","",IF(H60&gt;7,"⚠ envelhecida",IF(AND(C60="Alta",H60&gt;3),"⚠ alta parada",""))))</f>
        <v/>
      </c>
      <c r="J60" s="4"/>
      <c r="K60" s="4"/>
      <c r="L60" s="4"/>
    </row>
    <row r="61" customFormat="false" ht="15" hidden="false" customHeight="false" outlineLevel="0" collapsed="false">
      <c r="A61" s="15"/>
      <c r="B61" s="15"/>
      <c r="C61" s="15"/>
      <c r="D61" s="15"/>
      <c r="E61" s="28"/>
      <c r="F61" s="28"/>
      <c r="G61" s="15" t="str">
        <f aca="false">IF(AND(D61="Feito",E61&lt;&gt;"",F61&lt;&gt;""),F61-E61,"")</f>
        <v/>
      </c>
      <c r="H61" s="15" t="str">
        <f aca="true">IF(OR(D61="Feito",E61=""),"",TODAY()-E61)</f>
        <v/>
      </c>
      <c r="I61" s="15" t="str">
        <f aca="false">IF(D61="Feito","",IF(H61="","",IF(H61&gt;7,"⚠ envelhecida",IF(AND(C61="Alta",H61&gt;3),"⚠ alta parada",""))))</f>
        <v/>
      </c>
      <c r="J61" s="4"/>
      <c r="K61" s="4"/>
      <c r="L61" s="4"/>
    </row>
    <row r="62" customFormat="false" ht="15" hidden="false" customHeight="false" outlineLevel="0" collapsed="false">
      <c r="A62" s="15"/>
      <c r="B62" s="15"/>
      <c r="C62" s="15"/>
      <c r="D62" s="15"/>
      <c r="E62" s="28"/>
      <c r="F62" s="28"/>
      <c r="G62" s="15" t="str">
        <f aca="false">IF(AND(D62="Feito",E62&lt;&gt;"",F62&lt;&gt;""),F62-E62,"")</f>
        <v/>
      </c>
      <c r="H62" s="15" t="str">
        <f aca="true">IF(OR(D62="Feito",E62=""),"",TODAY()-E62)</f>
        <v/>
      </c>
      <c r="I62" s="15" t="str">
        <f aca="false">IF(D62="Feito","",IF(H62="","",IF(H62&gt;7,"⚠ envelhecida",IF(AND(C62="Alta",H62&gt;3),"⚠ alta parada",""))))</f>
        <v/>
      </c>
      <c r="J62" s="4"/>
      <c r="K62" s="4"/>
      <c r="L62" s="4"/>
    </row>
    <row r="63" customFormat="false" ht="15" hidden="false" customHeight="false" outlineLevel="0" collapsed="false">
      <c r="A63" s="15"/>
      <c r="B63" s="15"/>
      <c r="C63" s="15"/>
      <c r="D63" s="15"/>
      <c r="E63" s="28"/>
      <c r="F63" s="28"/>
      <c r="G63" s="15" t="str">
        <f aca="false">IF(AND(D63="Feito",E63&lt;&gt;"",F63&lt;&gt;""),F63-E63,"")</f>
        <v/>
      </c>
      <c r="H63" s="15" t="str">
        <f aca="true">IF(OR(D63="Feito",E63=""),"",TODAY()-E63)</f>
        <v/>
      </c>
      <c r="I63" s="15" t="str">
        <f aca="false">IF(D63="Feito","",IF(H63="","",IF(H63&gt;7,"⚠ envelhecida",IF(AND(C63="Alta",H63&gt;3),"⚠ alta parada",""))))</f>
        <v/>
      </c>
      <c r="J63" s="4"/>
      <c r="K63" s="4"/>
      <c r="L63" s="4"/>
    </row>
    <row r="64" customFormat="false" ht="15" hidden="false" customHeight="false" outlineLevel="0" collapsed="false">
      <c r="A64" s="15"/>
      <c r="B64" s="15"/>
      <c r="C64" s="15"/>
      <c r="D64" s="15"/>
      <c r="E64" s="28"/>
      <c r="F64" s="28"/>
      <c r="G64" s="15" t="str">
        <f aca="false">IF(AND(D64="Feito",E64&lt;&gt;"",F64&lt;&gt;""),F64-E64,"")</f>
        <v/>
      </c>
      <c r="H64" s="15" t="str">
        <f aca="true">IF(OR(D64="Feito",E64=""),"",TODAY()-E64)</f>
        <v/>
      </c>
      <c r="I64" s="15" t="str">
        <f aca="false">IF(D64="Feito","",IF(H64="","",IF(H64&gt;7,"⚠ envelhecida",IF(AND(C64="Alta",H64&gt;3),"⚠ alta parada",""))))</f>
        <v/>
      </c>
      <c r="J64" s="4"/>
      <c r="K64" s="4"/>
      <c r="L64" s="4"/>
    </row>
    <row r="65" customFormat="false" ht="15" hidden="false" customHeight="false" outlineLevel="0" collapsed="false">
      <c r="A65" s="15"/>
      <c r="B65" s="15"/>
      <c r="C65" s="15"/>
      <c r="D65" s="15"/>
      <c r="E65" s="28"/>
      <c r="F65" s="28"/>
      <c r="G65" s="15" t="str">
        <f aca="false">IF(AND(D65="Feito",E65&lt;&gt;"",F65&lt;&gt;""),F65-E65,"")</f>
        <v/>
      </c>
      <c r="H65" s="15" t="str">
        <f aca="true">IF(OR(D65="Feito",E65=""),"",TODAY()-E65)</f>
        <v/>
      </c>
      <c r="I65" s="15" t="str">
        <f aca="false">IF(D65="Feito","",IF(H65="","",IF(H65&gt;7,"⚠ envelhecida",IF(AND(C65="Alta",H65&gt;3),"⚠ alta parada",""))))</f>
        <v/>
      </c>
      <c r="J65" s="4"/>
      <c r="K65" s="4"/>
      <c r="L65" s="4"/>
    </row>
    <row r="66" customFormat="false" ht="15" hidden="false" customHeight="false" outlineLevel="0" collapsed="false">
      <c r="A66" s="15"/>
      <c r="B66" s="15"/>
      <c r="C66" s="15"/>
      <c r="D66" s="15"/>
      <c r="E66" s="28"/>
      <c r="F66" s="28"/>
      <c r="G66" s="15" t="str">
        <f aca="false">IF(AND(D66="Feito",E66&lt;&gt;"",F66&lt;&gt;""),F66-E66,"")</f>
        <v/>
      </c>
      <c r="H66" s="15" t="str">
        <f aca="true">IF(OR(D66="Feito",E66=""),"",TODAY()-E66)</f>
        <v/>
      </c>
      <c r="I66" s="15" t="str">
        <f aca="false">IF(D66="Feito","",IF(H66="","",IF(H66&gt;7,"⚠ envelhecida",IF(AND(C66="Alta",H66&gt;3),"⚠ alta parada",""))))</f>
        <v/>
      </c>
      <c r="J66" s="4"/>
      <c r="K66" s="4"/>
      <c r="L66" s="4"/>
    </row>
    <row r="67" customFormat="false" ht="15" hidden="false" customHeight="false" outlineLevel="0" collapsed="false">
      <c r="A67" s="15"/>
      <c r="B67" s="15"/>
      <c r="C67" s="15"/>
      <c r="D67" s="15"/>
      <c r="E67" s="28"/>
      <c r="F67" s="28"/>
      <c r="G67" s="15" t="str">
        <f aca="false">IF(AND(D67="Feito",E67&lt;&gt;"",F67&lt;&gt;""),F67-E67,"")</f>
        <v/>
      </c>
      <c r="H67" s="15" t="str">
        <f aca="true">IF(OR(D67="Feito",E67=""),"",TODAY()-E67)</f>
        <v/>
      </c>
      <c r="I67" s="15" t="str">
        <f aca="false">IF(D67="Feito","",IF(H67="","",IF(H67&gt;7,"⚠ envelhecida",IF(AND(C67="Alta",H67&gt;3),"⚠ alta parada",""))))</f>
        <v/>
      </c>
      <c r="J67" s="4"/>
      <c r="K67" s="4"/>
      <c r="L67" s="4"/>
    </row>
    <row r="68" customFormat="false" ht="15" hidden="false" customHeight="false" outlineLevel="0" collapsed="false">
      <c r="A68" s="15"/>
      <c r="B68" s="15"/>
      <c r="C68" s="15"/>
      <c r="D68" s="15"/>
      <c r="E68" s="28"/>
      <c r="F68" s="28"/>
      <c r="G68" s="15" t="str">
        <f aca="false">IF(AND(D68="Feito",E68&lt;&gt;"",F68&lt;&gt;""),F68-E68,"")</f>
        <v/>
      </c>
      <c r="H68" s="15" t="str">
        <f aca="true">IF(OR(D68="Feito",E68=""),"",TODAY()-E68)</f>
        <v/>
      </c>
      <c r="I68" s="15" t="str">
        <f aca="false">IF(D68="Feito","",IF(H68="","",IF(H68&gt;7,"⚠ envelhecida",IF(AND(C68="Alta",H68&gt;3),"⚠ alta parada",""))))</f>
        <v/>
      </c>
      <c r="J68" s="4"/>
      <c r="K68" s="4"/>
      <c r="L68" s="4"/>
    </row>
    <row r="69" customFormat="false" ht="15" hidden="false" customHeight="false" outlineLevel="0" collapsed="false">
      <c r="A69" s="15"/>
      <c r="B69" s="15"/>
      <c r="C69" s="15"/>
      <c r="D69" s="15"/>
      <c r="E69" s="28"/>
      <c r="F69" s="28"/>
      <c r="G69" s="15" t="str">
        <f aca="false">IF(AND(D69="Feito",E69&lt;&gt;"",F69&lt;&gt;""),F69-E69,"")</f>
        <v/>
      </c>
      <c r="H69" s="15" t="str">
        <f aca="true">IF(OR(D69="Feito",E69=""),"",TODAY()-E69)</f>
        <v/>
      </c>
      <c r="I69" s="15" t="str">
        <f aca="false">IF(D69="Feito","",IF(H69="","",IF(H69&gt;7,"⚠ envelhecida",IF(AND(C69="Alta",H69&gt;3),"⚠ alta parada",""))))</f>
        <v/>
      </c>
      <c r="J69" s="4"/>
      <c r="K69" s="4"/>
      <c r="L69" s="4"/>
    </row>
    <row r="70" customFormat="false" ht="15" hidden="false" customHeight="false" outlineLevel="0" collapsed="false">
      <c r="A70" s="15"/>
      <c r="B70" s="15"/>
      <c r="C70" s="15"/>
      <c r="D70" s="15"/>
      <c r="E70" s="28"/>
      <c r="F70" s="28"/>
      <c r="G70" s="15" t="str">
        <f aca="false">IF(AND(D70="Feito",E70&lt;&gt;"",F70&lt;&gt;""),F70-E70,"")</f>
        <v/>
      </c>
      <c r="H70" s="15" t="str">
        <f aca="true">IF(OR(D70="Feito",E70=""),"",TODAY()-E70)</f>
        <v/>
      </c>
      <c r="I70" s="15" t="str">
        <f aca="false">IF(D70="Feito","",IF(H70="","",IF(H70&gt;7,"⚠ envelhecida",IF(AND(C70="Alta",H70&gt;3),"⚠ alta parada",""))))</f>
        <v/>
      </c>
      <c r="J70" s="4"/>
      <c r="K70" s="4"/>
      <c r="L70" s="4"/>
    </row>
    <row r="71" customFormat="false" ht="15" hidden="false" customHeight="false" outlineLevel="0" collapsed="false">
      <c r="A71" s="15"/>
      <c r="B71" s="15"/>
      <c r="C71" s="15"/>
      <c r="D71" s="15"/>
      <c r="E71" s="28"/>
      <c r="F71" s="28"/>
      <c r="G71" s="15" t="str">
        <f aca="false">IF(AND(D71="Feito",E71&lt;&gt;"",F71&lt;&gt;""),F71-E71,"")</f>
        <v/>
      </c>
      <c r="H71" s="15" t="str">
        <f aca="true">IF(OR(D71="Feito",E71=""),"",TODAY()-E71)</f>
        <v/>
      </c>
      <c r="I71" s="15" t="str">
        <f aca="false">IF(D71="Feito","",IF(H71="","",IF(H71&gt;7,"⚠ envelhecida",IF(AND(C71="Alta",H71&gt;3),"⚠ alta parada",""))))</f>
        <v/>
      </c>
      <c r="J71" s="4"/>
      <c r="K71" s="4"/>
      <c r="L71" s="4"/>
    </row>
    <row r="72" customFormat="false" ht="15" hidden="false" customHeight="false" outlineLevel="0" collapsed="false">
      <c r="A72" s="15"/>
      <c r="B72" s="15"/>
      <c r="C72" s="15"/>
      <c r="D72" s="15"/>
      <c r="E72" s="28"/>
      <c r="F72" s="28"/>
      <c r="G72" s="15" t="str">
        <f aca="false">IF(AND(D72="Feito",E72&lt;&gt;"",F72&lt;&gt;""),F72-E72,"")</f>
        <v/>
      </c>
      <c r="H72" s="15" t="str">
        <f aca="true">IF(OR(D72="Feito",E72=""),"",TODAY()-E72)</f>
        <v/>
      </c>
      <c r="I72" s="15" t="str">
        <f aca="false">IF(D72="Feito","",IF(H72="","",IF(H72&gt;7,"⚠ envelhecida",IF(AND(C72="Alta",H72&gt;3),"⚠ alta parada",""))))</f>
        <v/>
      </c>
      <c r="J72" s="4"/>
      <c r="K72" s="4"/>
      <c r="L72" s="4"/>
    </row>
    <row r="73" customFormat="false" ht="15" hidden="false" customHeight="false" outlineLevel="0" collapsed="false">
      <c r="A73" s="15"/>
      <c r="B73" s="15"/>
      <c r="C73" s="15"/>
      <c r="D73" s="15"/>
      <c r="E73" s="28"/>
      <c r="F73" s="28"/>
      <c r="G73" s="15" t="str">
        <f aca="false">IF(AND(D73="Feito",E73&lt;&gt;"",F73&lt;&gt;""),F73-E73,"")</f>
        <v/>
      </c>
      <c r="H73" s="15" t="str">
        <f aca="true">IF(OR(D73="Feito",E73=""),"",TODAY()-E73)</f>
        <v/>
      </c>
      <c r="I73" s="15" t="str">
        <f aca="false">IF(D73="Feito","",IF(H73="","",IF(H73&gt;7,"⚠ envelhecida",IF(AND(C73="Alta",H73&gt;3),"⚠ alta parada",""))))</f>
        <v/>
      </c>
      <c r="J73" s="4"/>
      <c r="K73" s="4"/>
      <c r="L73" s="4"/>
    </row>
    <row r="74" customFormat="false" ht="15" hidden="false" customHeight="false" outlineLevel="0" collapsed="false">
      <c r="A74" s="15"/>
      <c r="B74" s="15"/>
      <c r="C74" s="15"/>
      <c r="D74" s="15"/>
      <c r="E74" s="28"/>
      <c r="F74" s="28"/>
      <c r="G74" s="15" t="str">
        <f aca="false">IF(AND(D74="Feito",E74&lt;&gt;"",F74&lt;&gt;""),F74-E74,"")</f>
        <v/>
      </c>
      <c r="H74" s="15" t="str">
        <f aca="true">IF(OR(D74="Feito",E74=""),"",TODAY()-E74)</f>
        <v/>
      </c>
      <c r="I74" s="15" t="str">
        <f aca="false">IF(D74="Feito","",IF(H74="","",IF(H74&gt;7,"⚠ envelhecida",IF(AND(C74="Alta",H74&gt;3),"⚠ alta parada",""))))</f>
        <v/>
      </c>
      <c r="J74" s="4"/>
      <c r="K74" s="4"/>
      <c r="L74" s="4"/>
    </row>
    <row r="75" customFormat="false" ht="15" hidden="false" customHeight="false" outlineLevel="0" collapsed="false">
      <c r="A75" s="15"/>
      <c r="B75" s="15"/>
      <c r="C75" s="15"/>
      <c r="D75" s="15"/>
      <c r="E75" s="28"/>
      <c r="F75" s="28"/>
      <c r="G75" s="15" t="str">
        <f aca="false">IF(AND(D75="Feito",E75&lt;&gt;"",F75&lt;&gt;""),F75-E75,"")</f>
        <v/>
      </c>
      <c r="H75" s="15" t="str">
        <f aca="true">IF(OR(D75="Feito",E75=""),"",TODAY()-E75)</f>
        <v/>
      </c>
      <c r="I75" s="15" t="str">
        <f aca="false">IF(D75="Feito","",IF(H75="","",IF(H75&gt;7,"⚠ envelhecida",IF(AND(C75="Alta",H75&gt;3),"⚠ alta parada",""))))</f>
        <v/>
      </c>
      <c r="J75" s="4"/>
      <c r="K75" s="4"/>
      <c r="L75" s="4"/>
    </row>
    <row r="76" customFormat="false" ht="15" hidden="false" customHeight="false" outlineLevel="0" collapsed="false">
      <c r="A76" s="15"/>
      <c r="B76" s="15"/>
      <c r="C76" s="15"/>
      <c r="D76" s="15"/>
      <c r="E76" s="28"/>
      <c r="F76" s="28"/>
      <c r="G76" s="15" t="str">
        <f aca="false">IF(AND(D76="Feito",E76&lt;&gt;"",F76&lt;&gt;""),F76-E76,"")</f>
        <v/>
      </c>
      <c r="H76" s="15" t="str">
        <f aca="true">IF(OR(D76="Feito",E76=""),"",TODAY()-E76)</f>
        <v/>
      </c>
      <c r="I76" s="15" t="str">
        <f aca="false">IF(D76="Feito","",IF(H76="","",IF(H76&gt;7,"⚠ envelhecida",IF(AND(C76="Alta",H76&gt;3),"⚠ alta parada",""))))</f>
        <v/>
      </c>
      <c r="J76" s="4"/>
      <c r="K76" s="4"/>
      <c r="L76" s="4"/>
    </row>
    <row r="77" customFormat="false" ht="15" hidden="false" customHeight="false" outlineLevel="0" collapsed="false">
      <c r="A77" s="15"/>
      <c r="B77" s="15"/>
      <c r="C77" s="15"/>
      <c r="D77" s="15"/>
      <c r="E77" s="28"/>
      <c r="F77" s="28"/>
      <c r="G77" s="15" t="str">
        <f aca="false">IF(AND(D77="Feito",E77&lt;&gt;"",F77&lt;&gt;""),F77-E77,"")</f>
        <v/>
      </c>
      <c r="H77" s="15" t="str">
        <f aca="true">IF(OR(D77="Feito",E77=""),"",TODAY()-E77)</f>
        <v/>
      </c>
      <c r="I77" s="15" t="str">
        <f aca="false">IF(D77="Feito","",IF(H77="","",IF(H77&gt;7,"⚠ envelhecida",IF(AND(C77="Alta",H77&gt;3),"⚠ alta parada",""))))</f>
        <v/>
      </c>
      <c r="J77" s="4"/>
      <c r="K77" s="4"/>
      <c r="L77" s="4"/>
    </row>
    <row r="78" customFormat="false" ht="15" hidden="false" customHeight="false" outlineLevel="0" collapsed="false">
      <c r="A78" s="15"/>
      <c r="B78" s="15"/>
      <c r="C78" s="15"/>
      <c r="D78" s="15"/>
      <c r="E78" s="28"/>
      <c r="F78" s="28"/>
      <c r="G78" s="15" t="str">
        <f aca="false">IF(AND(D78="Feito",E78&lt;&gt;"",F78&lt;&gt;""),F78-E78,"")</f>
        <v/>
      </c>
      <c r="H78" s="15" t="str">
        <f aca="true">IF(OR(D78="Feito",E78=""),"",TODAY()-E78)</f>
        <v/>
      </c>
      <c r="I78" s="15" t="str">
        <f aca="false">IF(D78="Feito","",IF(H78="","",IF(H78&gt;7,"⚠ envelhecida",IF(AND(C78="Alta",H78&gt;3),"⚠ alta parada",""))))</f>
        <v/>
      </c>
      <c r="J78" s="4"/>
      <c r="K78" s="4"/>
      <c r="L78" s="4"/>
    </row>
    <row r="79" customFormat="false" ht="15" hidden="false" customHeight="false" outlineLevel="0" collapsed="false">
      <c r="A79" s="15"/>
      <c r="B79" s="15"/>
      <c r="C79" s="15"/>
      <c r="D79" s="15"/>
      <c r="E79" s="28"/>
      <c r="F79" s="28"/>
      <c r="G79" s="15" t="str">
        <f aca="false">IF(AND(D79="Feito",E79&lt;&gt;"",F79&lt;&gt;""),F79-E79,"")</f>
        <v/>
      </c>
      <c r="H79" s="15" t="str">
        <f aca="true">IF(OR(D79="Feito",E79=""),"",TODAY()-E79)</f>
        <v/>
      </c>
      <c r="I79" s="15" t="str">
        <f aca="false">IF(D79="Feito","",IF(H79="","",IF(H79&gt;7,"⚠ envelhecida",IF(AND(C79="Alta",H79&gt;3),"⚠ alta parada",""))))</f>
        <v/>
      </c>
      <c r="J79" s="4"/>
      <c r="K79" s="4"/>
      <c r="L79" s="4"/>
    </row>
    <row r="80" customFormat="false" ht="15" hidden="false" customHeight="false" outlineLevel="0" collapsed="false">
      <c r="A80" s="15"/>
      <c r="B80" s="15"/>
      <c r="C80" s="15"/>
      <c r="D80" s="15"/>
      <c r="E80" s="28"/>
      <c r="F80" s="28"/>
      <c r="G80" s="15" t="str">
        <f aca="false">IF(AND(D80="Feito",E80&lt;&gt;"",F80&lt;&gt;""),F80-E80,"")</f>
        <v/>
      </c>
      <c r="H80" s="15" t="str">
        <f aca="true">IF(OR(D80="Feito",E80=""),"",TODAY()-E80)</f>
        <v/>
      </c>
      <c r="I80" s="15" t="str">
        <f aca="false">IF(D80="Feito","",IF(H80="","",IF(H80&gt;7,"⚠ envelhecida",IF(AND(C80="Alta",H80&gt;3),"⚠ alta parada",""))))</f>
        <v/>
      </c>
      <c r="J80" s="4"/>
      <c r="K80" s="4"/>
      <c r="L80" s="4"/>
    </row>
    <row r="81" customFormat="false" ht="15" hidden="false" customHeight="false" outlineLevel="0" collapsed="false">
      <c r="A81" s="15"/>
      <c r="B81" s="15"/>
      <c r="C81" s="15"/>
      <c r="D81" s="15"/>
      <c r="E81" s="28"/>
      <c r="F81" s="28"/>
      <c r="G81" s="15" t="str">
        <f aca="false">IF(AND(D81="Feito",E81&lt;&gt;"",F81&lt;&gt;""),F81-E81,"")</f>
        <v/>
      </c>
      <c r="H81" s="15" t="str">
        <f aca="true">IF(OR(D81="Feito",E81=""),"",TODAY()-E81)</f>
        <v/>
      </c>
      <c r="I81" s="15" t="str">
        <f aca="false">IF(D81="Feito","",IF(H81="","",IF(H81&gt;7,"⚠ envelhecida",IF(AND(C81="Alta",H81&gt;3),"⚠ alta parada",""))))</f>
        <v/>
      </c>
      <c r="J81" s="4"/>
      <c r="K81" s="4"/>
      <c r="L81" s="4"/>
    </row>
    <row r="82" customFormat="false" ht="15" hidden="false" customHeight="false" outlineLevel="0" collapsed="false">
      <c r="A82" s="15"/>
      <c r="B82" s="15"/>
      <c r="C82" s="15"/>
      <c r="D82" s="15"/>
      <c r="E82" s="28"/>
      <c r="F82" s="28"/>
      <c r="G82" s="15" t="str">
        <f aca="false">IF(AND(D82="Feito",E82&lt;&gt;"",F82&lt;&gt;""),F82-E82,"")</f>
        <v/>
      </c>
      <c r="H82" s="15" t="str">
        <f aca="true">IF(OR(D82="Feito",E82=""),"",TODAY()-E82)</f>
        <v/>
      </c>
      <c r="I82" s="15" t="str">
        <f aca="false">IF(D82="Feito","",IF(H82="","",IF(H82&gt;7,"⚠ envelhecida",IF(AND(C82="Alta",H82&gt;3),"⚠ alta parada",""))))</f>
        <v/>
      </c>
      <c r="J82" s="4"/>
      <c r="K82" s="4"/>
      <c r="L82" s="4"/>
    </row>
    <row r="83" customFormat="false" ht="15" hidden="false" customHeight="false" outlineLevel="0" collapsed="false">
      <c r="A83" s="15"/>
      <c r="B83" s="15"/>
      <c r="C83" s="15"/>
      <c r="D83" s="15"/>
      <c r="E83" s="28"/>
      <c r="F83" s="28"/>
      <c r="G83" s="15" t="str">
        <f aca="false">IF(AND(D83="Feito",E83&lt;&gt;"",F83&lt;&gt;""),F83-E83,"")</f>
        <v/>
      </c>
      <c r="H83" s="15" t="str">
        <f aca="true">IF(OR(D83="Feito",E83=""),"",TODAY()-E83)</f>
        <v/>
      </c>
      <c r="I83" s="15" t="str">
        <f aca="false">IF(D83="Feito","",IF(H83="","",IF(H83&gt;7,"⚠ envelhecida",IF(AND(C83="Alta",H83&gt;3),"⚠ alta parada",""))))</f>
        <v/>
      </c>
      <c r="J83" s="4"/>
      <c r="K83" s="4"/>
      <c r="L83" s="4"/>
    </row>
    <row r="84" customFormat="false" ht="15" hidden="false" customHeight="false" outlineLevel="0" collapsed="false">
      <c r="A84" s="15"/>
      <c r="B84" s="15"/>
      <c r="C84" s="15"/>
      <c r="D84" s="15"/>
      <c r="E84" s="28"/>
      <c r="F84" s="28"/>
      <c r="G84" s="15" t="str">
        <f aca="false">IF(AND(D84="Feito",E84&lt;&gt;"",F84&lt;&gt;""),F84-E84,"")</f>
        <v/>
      </c>
      <c r="H84" s="15" t="str">
        <f aca="true">IF(OR(D84="Feito",E84=""),"",TODAY()-E84)</f>
        <v/>
      </c>
      <c r="I84" s="15" t="str">
        <f aca="false">IF(D84="Feito","",IF(H84="","",IF(H84&gt;7,"⚠ envelhecida",IF(AND(C84="Alta",H84&gt;3),"⚠ alta parada",""))))</f>
        <v/>
      </c>
      <c r="J84" s="4"/>
      <c r="K84" s="4"/>
      <c r="L84" s="4"/>
    </row>
    <row r="85" customFormat="false" ht="15" hidden="false" customHeight="false" outlineLevel="0" collapsed="false">
      <c r="A85" s="15"/>
      <c r="B85" s="15"/>
      <c r="C85" s="15"/>
      <c r="D85" s="15"/>
      <c r="E85" s="28"/>
      <c r="F85" s="28"/>
      <c r="G85" s="15" t="str">
        <f aca="false">IF(AND(D85="Feito",E85&lt;&gt;"",F85&lt;&gt;""),F85-E85,"")</f>
        <v/>
      </c>
      <c r="H85" s="15" t="str">
        <f aca="true">IF(OR(D85="Feito",E85=""),"",TODAY()-E85)</f>
        <v/>
      </c>
      <c r="I85" s="15" t="str">
        <f aca="false">IF(D85="Feito","",IF(H85="","",IF(H85&gt;7,"⚠ envelhecida",IF(AND(C85="Alta",H85&gt;3),"⚠ alta parada",""))))</f>
        <v/>
      </c>
      <c r="J85" s="4"/>
      <c r="K85" s="4"/>
      <c r="L85" s="4"/>
    </row>
    <row r="86" customFormat="false" ht="15" hidden="false" customHeight="false" outlineLevel="0" collapsed="false">
      <c r="A86" s="15"/>
      <c r="B86" s="15"/>
      <c r="C86" s="15"/>
      <c r="D86" s="15"/>
      <c r="E86" s="28"/>
      <c r="F86" s="28"/>
      <c r="G86" s="15" t="str">
        <f aca="false">IF(AND(D86="Feito",E86&lt;&gt;"",F86&lt;&gt;""),F86-E86,"")</f>
        <v/>
      </c>
      <c r="H86" s="15" t="str">
        <f aca="true">IF(OR(D86="Feito",E86=""),"",TODAY()-E86)</f>
        <v/>
      </c>
      <c r="I86" s="15" t="str">
        <f aca="false">IF(D86="Feito","",IF(H86="","",IF(H86&gt;7,"⚠ envelhecida",IF(AND(C86="Alta",H86&gt;3),"⚠ alta parada",""))))</f>
        <v/>
      </c>
      <c r="J86" s="4"/>
      <c r="K86" s="4"/>
      <c r="L86" s="4"/>
    </row>
    <row r="87" customFormat="false" ht="15" hidden="false" customHeight="false" outlineLevel="0" collapsed="false">
      <c r="A87" s="15"/>
      <c r="B87" s="15"/>
      <c r="C87" s="15"/>
      <c r="D87" s="15"/>
      <c r="E87" s="28"/>
      <c r="F87" s="28"/>
      <c r="G87" s="15" t="str">
        <f aca="false">IF(AND(D87="Feito",E87&lt;&gt;"",F87&lt;&gt;""),F87-E87,"")</f>
        <v/>
      </c>
      <c r="H87" s="15" t="str">
        <f aca="true">IF(OR(D87="Feito",E87=""),"",TODAY()-E87)</f>
        <v/>
      </c>
      <c r="I87" s="15" t="str">
        <f aca="false">IF(D87="Feito","",IF(H87="","",IF(H87&gt;7,"⚠ envelhecida",IF(AND(C87="Alta",H87&gt;3),"⚠ alta parada",""))))</f>
        <v/>
      </c>
      <c r="J87" s="4"/>
      <c r="K87" s="4"/>
      <c r="L87" s="4"/>
    </row>
    <row r="88" customFormat="false" ht="15" hidden="false" customHeight="false" outlineLevel="0" collapsed="false">
      <c r="A88" s="15"/>
      <c r="B88" s="15"/>
      <c r="C88" s="15"/>
      <c r="D88" s="15"/>
      <c r="E88" s="28"/>
      <c r="F88" s="28"/>
      <c r="G88" s="15" t="str">
        <f aca="false">IF(AND(D88="Feito",E88&lt;&gt;"",F88&lt;&gt;""),F88-E88,"")</f>
        <v/>
      </c>
      <c r="H88" s="15" t="str">
        <f aca="true">IF(OR(D88="Feito",E88=""),"",TODAY()-E88)</f>
        <v/>
      </c>
      <c r="I88" s="15" t="str">
        <f aca="false">IF(D88="Feito","",IF(H88="","",IF(H88&gt;7,"⚠ envelhecida",IF(AND(C88="Alta",H88&gt;3),"⚠ alta parada",""))))</f>
        <v/>
      </c>
      <c r="J88" s="4"/>
      <c r="K88" s="4"/>
      <c r="L88" s="4"/>
    </row>
    <row r="89" customFormat="false" ht="15" hidden="false" customHeight="false" outlineLevel="0" collapsed="false">
      <c r="A89" s="15"/>
      <c r="B89" s="15"/>
      <c r="C89" s="15"/>
      <c r="D89" s="15"/>
      <c r="E89" s="28"/>
      <c r="F89" s="28"/>
      <c r="G89" s="15" t="str">
        <f aca="false">IF(AND(D89="Feito",E89&lt;&gt;"",F89&lt;&gt;""),F89-E89,"")</f>
        <v/>
      </c>
      <c r="H89" s="15" t="str">
        <f aca="true">IF(OR(D89="Feito",E89=""),"",TODAY()-E89)</f>
        <v/>
      </c>
      <c r="I89" s="15" t="str">
        <f aca="false">IF(D89="Feito","",IF(H89="","",IF(H89&gt;7,"⚠ envelhecida",IF(AND(C89="Alta",H89&gt;3),"⚠ alta parada",""))))</f>
        <v/>
      </c>
      <c r="J89" s="4"/>
      <c r="K89" s="4"/>
      <c r="L89" s="4"/>
    </row>
    <row r="90" customFormat="false" ht="15" hidden="false" customHeight="false" outlineLevel="0" collapsed="false">
      <c r="A90" s="15"/>
      <c r="B90" s="15"/>
      <c r="C90" s="15"/>
      <c r="D90" s="15"/>
      <c r="E90" s="28"/>
      <c r="F90" s="28"/>
      <c r="G90" s="15" t="str">
        <f aca="false">IF(AND(D90="Feito",E90&lt;&gt;"",F90&lt;&gt;""),F90-E90,"")</f>
        <v/>
      </c>
      <c r="H90" s="15" t="str">
        <f aca="true">IF(OR(D90="Feito",E90=""),"",TODAY()-E90)</f>
        <v/>
      </c>
      <c r="I90" s="15" t="str">
        <f aca="false">IF(D90="Feito","",IF(H90="","",IF(H90&gt;7,"⚠ envelhecida",IF(AND(C90="Alta",H90&gt;3),"⚠ alta parada",""))))</f>
        <v/>
      </c>
      <c r="J90" s="4"/>
      <c r="K90" s="4"/>
      <c r="L90" s="4"/>
    </row>
    <row r="91" customFormat="false" ht="15" hidden="false" customHeight="false" outlineLevel="0" collapsed="false">
      <c r="A91" s="15"/>
      <c r="B91" s="15"/>
      <c r="C91" s="15"/>
      <c r="D91" s="15"/>
      <c r="E91" s="28"/>
      <c r="F91" s="28"/>
      <c r="G91" s="15" t="str">
        <f aca="false">IF(AND(D91="Feito",E91&lt;&gt;"",F91&lt;&gt;""),F91-E91,"")</f>
        <v/>
      </c>
      <c r="H91" s="15" t="str">
        <f aca="true">IF(OR(D91="Feito",E91=""),"",TODAY()-E91)</f>
        <v/>
      </c>
      <c r="I91" s="15" t="str">
        <f aca="false">IF(D91="Feito","",IF(H91="","",IF(H91&gt;7,"⚠ envelhecida",IF(AND(C91="Alta",H91&gt;3),"⚠ alta parada",""))))</f>
        <v/>
      </c>
      <c r="J91" s="4"/>
      <c r="K91" s="4"/>
      <c r="L91" s="4"/>
    </row>
    <row r="92" customFormat="false" ht="15" hidden="false" customHeight="false" outlineLevel="0" collapsed="false">
      <c r="A92" s="15"/>
      <c r="B92" s="15"/>
      <c r="C92" s="15"/>
      <c r="D92" s="15"/>
      <c r="E92" s="28"/>
      <c r="F92" s="28"/>
      <c r="G92" s="15" t="str">
        <f aca="false">IF(AND(D92="Feito",E92&lt;&gt;"",F92&lt;&gt;""),F92-E92,"")</f>
        <v/>
      </c>
      <c r="H92" s="15" t="str">
        <f aca="true">IF(OR(D92="Feito",E92=""),"",TODAY()-E92)</f>
        <v/>
      </c>
      <c r="I92" s="15" t="str">
        <f aca="false">IF(D92="Feito","",IF(H92="","",IF(H92&gt;7,"⚠ envelhecida",IF(AND(C92="Alta",H92&gt;3),"⚠ alta parada",""))))</f>
        <v/>
      </c>
      <c r="J92" s="4"/>
      <c r="K92" s="4"/>
      <c r="L92" s="4"/>
    </row>
    <row r="93" customFormat="false" ht="15" hidden="false" customHeight="false" outlineLevel="0" collapsed="false">
      <c r="A93" s="15"/>
      <c r="B93" s="15"/>
      <c r="C93" s="15"/>
      <c r="D93" s="15"/>
      <c r="E93" s="28"/>
      <c r="F93" s="28"/>
      <c r="G93" s="15" t="str">
        <f aca="false">IF(AND(D93="Feito",E93&lt;&gt;"",F93&lt;&gt;""),F93-E93,"")</f>
        <v/>
      </c>
      <c r="H93" s="15" t="str">
        <f aca="true">IF(OR(D93="Feito",E93=""),"",TODAY()-E93)</f>
        <v/>
      </c>
      <c r="I93" s="15" t="str">
        <f aca="false">IF(D93="Feito","",IF(H93="","",IF(H93&gt;7,"⚠ envelhecida",IF(AND(C93="Alta",H93&gt;3),"⚠ alta parada",""))))</f>
        <v/>
      </c>
      <c r="J93" s="4"/>
      <c r="K93" s="4"/>
      <c r="L93" s="4"/>
    </row>
    <row r="94" customFormat="false" ht="15" hidden="false" customHeight="false" outlineLevel="0" collapsed="false">
      <c r="A94" s="15"/>
      <c r="B94" s="15"/>
      <c r="C94" s="15"/>
      <c r="D94" s="15"/>
      <c r="E94" s="28"/>
      <c r="F94" s="28"/>
      <c r="G94" s="15" t="str">
        <f aca="false">IF(AND(D94="Feito",E94&lt;&gt;"",F94&lt;&gt;""),F94-E94,"")</f>
        <v/>
      </c>
      <c r="H94" s="15" t="str">
        <f aca="true">IF(OR(D94="Feito",E94=""),"",TODAY()-E94)</f>
        <v/>
      </c>
      <c r="I94" s="15" t="str">
        <f aca="false">IF(D94="Feito","",IF(H94="","",IF(H94&gt;7,"⚠ envelhecida",IF(AND(C94="Alta",H94&gt;3),"⚠ alta parada",""))))</f>
        <v/>
      </c>
      <c r="J94" s="4"/>
      <c r="K94" s="4"/>
      <c r="L94" s="4"/>
    </row>
    <row r="95" customFormat="false" ht="15" hidden="false" customHeight="false" outlineLevel="0" collapsed="false">
      <c r="A95" s="15"/>
      <c r="B95" s="15"/>
      <c r="C95" s="15"/>
      <c r="D95" s="15"/>
      <c r="E95" s="28"/>
      <c r="F95" s="28"/>
      <c r="G95" s="15" t="str">
        <f aca="false">IF(AND(D95="Feito",E95&lt;&gt;"",F95&lt;&gt;""),F95-E95,"")</f>
        <v/>
      </c>
      <c r="H95" s="15" t="str">
        <f aca="true">IF(OR(D95="Feito",E95=""),"",TODAY()-E95)</f>
        <v/>
      </c>
      <c r="I95" s="15" t="str">
        <f aca="false">IF(D95="Feito","",IF(H95="","",IF(H95&gt;7,"⚠ envelhecida",IF(AND(C95="Alta",H95&gt;3),"⚠ alta parada",""))))</f>
        <v/>
      </c>
      <c r="J95" s="4"/>
      <c r="K95" s="4"/>
      <c r="L95" s="4"/>
    </row>
    <row r="96" customFormat="false" ht="15" hidden="false" customHeight="false" outlineLevel="0" collapsed="false">
      <c r="A96" s="15"/>
      <c r="B96" s="15"/>
      <c r="C96" s="15"/>
      <c r="D96" s="15"/>
      <c r="E96" s="28"/>
      <c r="F96" s="28"/>
      <c r="G96" s="15" t="str">
        <f aca="false">IF(AND(D96="Feito",E96&lt;&gt;"",F96&lt;&gt;""),F96-E96,"")</f>
        <v/>
      </c>
      <c r="H96" s="15" t="str">
        <f aca="true">IF(OR(D96="Feito",E96=""),"",TODAY()-E96)</f>
        <v/>
      </c>
      <c r="I96" s="15" t="str">
        <f aca="false">IF(D96="Feito","",IF(H96="","",IF(H96&gt;7,"⚠ envelhecida",IF(AND(C96="Alta",H96&gt;3),"⚠ alta parada",""))))</f>
        <v/>
      </c>
      <c r="J96" s="4"/>
      <c r="K96" s="4"/>
      <c r="L96" s="4"/>
    </row>
    <row r="97" customFormat="false" ht="15" hidden="false" customHeight="false" outlineLevel="0" collapsed="false">
      <c r="A97" s="15"/>
      <c r="B97" s="15"/>
      <c r="C97" s="15"/>
      <c r="D97" s="15"/>
      <c r="E97" s="28"/>
      <c r="F97" s="28"/>
      <c r="G97" s="15" t="str">
        <f aca="false">IF(AND(D97="Feito",E97&lt;&gt;"",F97&lt;&gt;""),F97-E97,"")</f>
        <v/>
      </c>
      <c r="H97" s="15" t="str">
        <f aca="true">IF(OR(D97="Feito",E97=""),"",TODAY()-E97)</f>
        <v/>
      </c>
      <c r="I97" s="15" t="str">
        <f aca="false">IF(D97="Feito","",IF(H97="","",IF(H97&gt;7,"⚠ envelhecida",IF(AND(C97="Alta",H97&gt;3),"⚠ alta parada",""))))</f>
        <v/>
      </c>
      <c r="J97" s="4"/>
      <c r="K97" s="4"/>
      <c r="L97" s="4"/>
    </row>
    <row r="98" customFormat="false" ht="15" hidden="false" customHeight="false" outlineLevel="0" collapsed="false">
      <c r="A98" s="15"/>
      <c r="B98" s="15"/>
      <c r="C98" s="15"/>
      <c r="D98" s="15"/>
      <c r="E98" s="28"/>
      <c r="F98" s="28"/>
      <c r="G98" s="15" t="str">
        <f aca="false">IF(AND(D98="Feito",E98&lt;&gt;"",F98&lt;&gt;""),F98-E98,"")</f>
        <v/>
      </c>
      <c r="H98" s="15" t="str">
        <f aca="true">IF(OR(D98="Feito",E98=""),"",TODAY()-E98)</f>
        <v/>
      </c>
      <c r="I98" s="15" t="str">
        <f aca="false">IF(D98="Feito","",IF(H98="","",IF(H98&gt;7,"⚠ envelhecida",IF(AND(C98="Alta",H98&gt;3),"⚠ alta parada",""))))</f>
        <v/>
      </c>
      <c r="J98" s="4"/>
      <c r="K98" s="4"/>
      <c r="L98" s="4"/>
    </row>
    <row r="99" customFormat="false" ht="15" hidden="false" customHeight="false" outlineLevel="0" collapsed="false">
      <c r="A99" s="15"/>
      <c r="B99" s="15"/>
      <c r="C99" s="15"/>
      <c r="D99" s="15"/>
      <c r="E99" s="28"/>
      <c r="F99" s="28"/>
      <c r="G99" s="15" t="str">
        <f aca="false">IF(AND(D99="Feito",E99&lt;&gt;"",F99&lt;&gt;""),F99-E99,"")</f>
        <v/>
      </c>
      <c r="H99" s="15" t="str">
        <f aca="true">IF(OR(D99="Feito",E99=""),"",TODAY()-E99)</f>
        <v/>
      </c>
      <c r="I99" s="15" t="str">
        <f aca="false">IF(D99="Feito","",IF(H99="","",IF(H99&gt;7,"⚠ envelhecida",IF(AND(C99="Alta",H99&gt;3),"⚠ alta parada",""))))</f>
        <v/>
      </c>
      <c r="J99" s="4"/>
      <c r="K99" s="4"/>
      <c r="L99" s="4"/>
    </row>
    <row r="100" customFormat="false" ht="15" hidden="false" customHeight="false" outlineLevel="0" collapsed="false">
      <c r="A100" s="15"/>
      <c r="B100" s="15"/>
      <c r="C100" s="15"/>
      <c r="D100" s="15"/>
      <c r="E100" s="28"/>
      <c r="F100" s="28"/>
      <c r="G100" s="15" t="str">
        <f aca="false">IF(AND(D100="Feito",E100&lt;&gt;"",F100&lt;&gt;""),F100-E100,"")</f>
        <v/>
      </c>
      <c r="H100" s="15" t="str">
        <f aca="true">IF(OR(D100="Feito",E100=""),"",TODAY()-E100)</f>
        <v/>
      </c>
      <c r="I100" s="15" t="str">
        <f aca="false">IF(D100="Feito","",IF(H100="","",IF(H100&gt;7,"⚠ envelhecida",IF(AND(C100="Alta",H100&gt;3),"⚠ alta parada",""))))</f>
        <v/>
      </c>
      <c r="J100" s="4"/>
      <c r="K100" s="4"/>
      <c r="L100" s="4"/>
    </row>
    <row r="101" customFormat="false" ht="15" hidden="false" customHeight="false" outlineLevel="0" collapsed="false">
      <c r="A101" s="15"/>
      <c r="B101" s="15"/>
      <c r="C101" s="15"/>
      <c r="D101" s="15"/>
      <c r="E101" s="28"/>
      <c r="F101" s="28"/>
      <c r="G101" s="15" t="str">
        <f aca="false">IF(AND(D101="Feito",E101&lt;&gt;"",F101&lt;&gt;""),F101-E101,"")</f>
        <v/>
      </c>
      <c r="H101" s="15" t="str">
        <f aca="true">IF(OR(D101="Feito",E101=""),"",TODAY()-E101)</f>
        <v/>
      </c>
      <c r="I101" s="15" t="str">
        <f aca="false">IF(D101="Feito","",IF(H101="","",IF(H101&gt;7,"⚠ envelhecida",IF(AND(C101="Alta",H101&gt;3),"⚠ alta parada",""))))</f>
        <v/>
      </c>
      <c r="J101" s="4"/>
      <c r="K101" s="4"/>
      <c r="L101" s="4"/>
    </row>
    <row r="102" customFormat="false" ht="15" hidden="false" customHeight="false" outlineLevel="0" collapsed="false">
      <c r="A102" s="15"/>
      <c r="B102" s="15"/>
      <c r="C102" s="15"/>
      <c r="D102" s="15"/>
      <c r="E102" s="28"/>
      <c r="F102" s="28"/>
      <c r="G102" s="15" t="str">
        <f aca="false">IF(AND(D102="Feito",E102&lt;&gt;"",F102&lt;&gt;""),F102-E102,"")</f>
        <v/>
      </c>
      <c r="H102" s="15" t="str">
        <f aca="true">IF(OR(D102="Feito",E102=""),"",TODAY()-E102)</f>
        <v/>
      </c>
      <c r="I102" s="15" t="str">
        <f aca="false">IF(D102="Feito","",IF(H102="","",IF(H102&gt;7,"⚠ envelhecida",IF(AND(C102="Alta",H102&gt;3),"⚠ alta parada",""))))</f>
        <v/>
      </c>
      <c r="J102" s="4"/>
      <c r="K102" s="4"/>
      <c r="L102" s="4"/>
    </row>
    <row r="103" customFormat="false" ht="15" hidden="false" customHeight="false" outlineLevel="0" collapsed="false">
      <c r="A103" s="15"/>
      <c r="B103" s="15"/>
      <c r="C103" s="15"/>
      <c r="D103" s="15"/>
      <c r="E103" s="28"/>
      <c r="F103" s="28"/>
      <c r="G103" s="15" t="str">
        <f aca="false">IF(AND(D103="Feito",E103&lt;&gt;"",F103&lt;&gt;""),F103-E103,"")</f>
        <v/>
      </c>
      <c r="H103" s="15" t="str">
        <f aca="true">IF(OR(D103="Feito",E103=""),"",TODAY()-E103)</f>
        <v/>
      </c>
      <c r="I103" s="15" t="str">
        <f aca="false">IF(D103="Feito","",IF(H103="","",IF(H103&gt;7,"⚠ envelhecida",IF(AND(C103="Alta",H103&gt;3),"⚠ alta parada",""))))</f>
        <v/>
      </c>
      <c r="J103" s="4"/>
      <c r="K103" s="4"/>
      <c r="L103" s="4"/>
    </row>
    <row r="104" customFormat="false" ht="15" hidden="false" customHeight="false" outlineLevel="0" collapsed="false">
      <c r="A104" s="15"/>
      <c r="B104" s="15"/>
      <c r="C104" s="15"/>
      <c r="D104" s="15"/>
      <c r="E104" s="28"/>
      <c r="F104" s="28"/>
      <c r="G104" s="15" t="str">
        <f aca="false">IF(AND(D104="Feito",E104&lt;&gt;"",F104&lt;&gt;""),F104-E104,"")</f>
        <v/>
      </c>
      <c r="H104" s="15" t="str">
        <f aca="true">IF(OR(D104="Feito",E104=""),"",TODAY()-E104)</f>
        <v/>
      </c>
      <c r="I104" s="15" t="str">
        <f aca="false">IF(D104="Feito","",IF(H104="","",IF(H104&gt;7,"⚠ envelhecida",IF(AND(C104="Alta",H104&gt;3),"⚠ alta parada",""))))</f>
        <v/>
      </c>
      <c r="J104" s="4"/>
      <c r="K104" s="4"/>
      <c r="L104" s="4"/>
    </row>
    <row r="105" customFormat="false" ht="15" hidden="false" customHeight="false" outlineLevel="0" collapsed="false">
      <c r="A105" s="15"/>
      <c r="B105" s="15"/>
      <c r="C105" s="15"/>
      <c r="D105" s="15"/>
      <c r="E105" s="28"/>
      <c r="F105" s="28"/>
      <c r="G105" s="15" t="str">
        <f aca="false">IF(AND(D105="Feito",E105&lt;&gt;"",F105&lt;&gt;""),F105-E105,"")</f>
        <v/>
      </c>
      <c r="H105" s="15" t="str">
        <f aca="true">IF(OR(D105="Feito",E105=""),"",TODAY()-E105)</f>
        <v/>
      </c>
      <c r="I105" s="15" t="str">
        <f aca="false">IF(D105="Feito","",IF(H105="","",IF(H105&gt;7,"⚠ envelhecida",IF(AND(C105="Alta",H105&gt;3),"⚠ alta parada",""))))</f>
        <v/>
      </c>
      <c r="J105" s="4"/>
      <c r="K105" s="4"/>
      <c r="L105" s="4"/>
    </row>
    <row r="106" customFormat="false" ht="15" hidden="false" customHeight="false" outlineLevel="0" collapsed="false">
      <c r="A106" s="15"/>
      <c r="B106" s="15"/>
      <c r="C106" s="15"/>
      <c r="D106" s="15"/>
      <c r="E106" s="28"/>
      <c r="F106" s="28"/>
      <c r="G106" s="15" t="str">
        <f aca="false">IF(AND(D106="Feito",E106&lt;&gt;"",F106&lt;&gt;""),F106-E106,"")</f>
        <v/>
      </c>
      <c r="H106" s="15" t="str">
        <f aca="true">IF(OR(D106="Feito",E106=""),"",TODAY()-E106)</f>
        <v/>
      </c>
      <c r="I106" s="15" t="str">
        <f aca="false">IF(D106="Feito","",IF(H106="","",IF(H106&gt;7,"⚠ envelhecida",IF(AND(C106="Alta",H106&gt;3),"⚠ alta parada",""))))</f>
        <v/>
      </c>
      <c r="J106" s="4"/>
      <c r="K106" s="4"/>
      <c r="L106" s="4"/>
    </row>
    <row r="107" customFormat="false" ht="15" hidden="false" customHeight="false" outlineLevel="0" collapsed="false">
      <c r="A107" s="15"/>
      <c r="B107" s="15"/>
      <c r="C107" s="15"/>
      <c r="D107" s="15"/>
      <c r="E107" s="28"/>
      <c r="F107" s="28"/>
      <c r="G107" s="15" t="str">
        <f aca="false">IF(AND(D107="Feito",E107&lt;&gt;"",F107&lt;&gt;""),F107-E107,"")</f>
        <v/>
      </c>
      <c r="H107" s="15" t="str">
        <f aca="true">IF(OR(D107="Feito",E107=""),"",TODAY()-E107)</f>
        <v/>
      </c>
      <c r="I107" s="15" t="str">
        <f aca="false">IF(D107="Feito","",IF(H107="","",IF(H107&gt;7,"⚠ envelhecida",IF(AND(C107="Alta",H107&gt;3),"⚠ alta parada",""))))</f>
        <v/>
      </c>
      <c r="J107" s="4"/>
      <c r="K107" s="4"/>
      <c r="L107" s="4"/>
    </row>
    <row r="108" customFormat="false" ht="15" hidden="false" customHeight="false" outlineLevel="0" collapsed="false">
      <c r="A108" s="15"/>
      <c r="B108" s="15"/>
      <c r="C108" s="15"/>
      <c r="D108" s="15"/>
      <c r="E108" s="28"/>
      <c r="F108" s="28"/>
      <c r="G108" s="15" t="str">
        <f aca="false">IF(AND(D108="Feito",E108&lt;&gt;"",F108&lt;&gt;""),F108-E108,"")</f>
        <v/>
      </c>
      <c r="H108" s="15" t="str">
        <f aca="true">IF(OR(D108="Feito",E108=""),"",TODAY()-E108)</f>
        <v/>
      </c>
      <c r="I108" s="15" t="str">
        <f aca="false">IF(D108="Feito","",IF(H108="","",IF(H108&gt;7,"⚠ envelhecida",IF(AND(C108="Alta",H108&gt;3),"⚠ alta parada",""))))</f>
        <v/>
      </c>
      <c r="J108" s="4"/>
      <c r="K108" s="4"/>
      <c r="L108" s="4"/>
    </row>
    <row r="109" customFormat="false" ht="15" hidden="false" customHeight="false" outlineLevel="0" collapsed="false">
      <c r="A109" s="15"/>
      <c r="B109" s="15"/>
      <c r="C109" s="15"/>
      <c r="D109" s="15"/>
      <c r="E109" s="28"/>
      <c r="F109" s="28"/>
      <c r="G109" s="15" t="str">
        <f aca="false">IF(AND(D109="Feito",E109&lt;&gt;"",F109&lt;&gt;""),F109-E109,"")</f>
        <v/>
      </c>
      <c r="H109" s="15" t="str">
        <f aca="true">IF(OR(D109="Feito",E109=""),"",TODAY()-E109)</f>
        <v/>
      </c>
      <c r="I109" s="15" t="str">
        <f aca="false">IF(D109="Feito","",IF(H109="","",IF(H109&gt;7,"⚠ envelhecida",IF(AND(C109="Alta",H109&gt;3),"⚠ alta parada",""))))</f>
        <v/>
      </c>
      <c r="J109" s="4"/>
      <c r="K109" s="4"/>
      <c r="L109" s="4"/>
    </row>
    <row r="110" customFormat="false" ht="15" hidden="false" customHeight="false" outlineLevel="0" collapsed="false">
      <c r="A110" s="15"/>
      <c r="B110" s="15"/>
      <c r="C110" s="15"/>
      <c r="D110" s="15"/>
      <c r="E110" s="28"/>
      <c r="F110" s="28"/>
      <c r="G110" s="15" t="str">
        <f aca="false">IF(AND(D110="Feito",E110&lt;&gt;"",F110&lt;&gt;""),F110-E110,"")</f>
        <v/>
      </c>
      <c r="H110" s="15" t="str">
        <f aca="true">IF(OR(D110="Feito",E110=""),"",TODAY()-E110)</f>
        <v/>
      </c>
      <c r="I110" s="15" t="str">
        <f aca="false">IF(D110="Feito","",IF(H110="","",IF(H110&gt;7,"⚠ envelhecida",IF(AND(C110="Alta",H110&gt;3),"⚠ alta parada",""))))</f>
        <v/>
      </c>
      <c r="J110" s="4"/>
      <c r="K110" s="4"/>
      <c r="L110" s="4"/>
    </row>
    <row r="111" customFormat="false" ht="15" hidden="false" customHeight="false" outlineLevel="0" collapsed="false">
      <c r="A111" s="15"/>
      <c r="B111" s="15"/>
      <c r="C111" s="15"/>
      <c r="D111" s="15"/>
      <c r="E111" s="28"/>
      <c r="F111" s="28"/>
      <c r="G111" s="15" t="str">
        <f aca="false">IF(AND(D111="Feito",E111&lt;&gt;"",F111&lt;&gt;""),F111-E111,"")</f>
        <v/>
      </c>
      <c r="H111" s="15" t="str">
        <f aca="true">IF(OR(D111="Feito",E111=""),"",TODAY()-E111)</f>
        <v/>
      </c>
      <c r="I111" s="15" t="str">
        <f aca="false">IF(D111="Feito","",IF(H111="","",IF(H111&gt;7,"⚠ envelhecida",IF(AND(C111="Alta",H111&gt;3),"⚠ alta parada",""))))</f>
        <v/>
      </c>
      <c r="J111" s="4"/>
      <c r="K111" s="4"/>
      <c r="L111" s="4"/>
    </row>
    <row r="112" customFormat="false" ht="15" hidden="false" customHeight="false" outlineLevel="0" collapsed="false">
      <c r="A112" s="15"/>
      <c r="B112" s="15"/>
      <c r="C112" s="15"/>
      <c r="D112" s="15"/>
      <c r="E112" s="28"/>
      <c r="F112" s="28"/>
      <c r="G112" s="15" t="str">
        <f aca="false">IF(AND(D112="Feito",E112&lt;&gt;"",F112&lt;&gt;""),F112-E112,"")</f>
        <v/>
      </c>
      <c r="H112" s="15" t="str">
        <f aca="true">IF(OR(D112="Feito",E112=""),"",TODAY()-E112)</f>
        <v/>
      </c>
      <c r="I112" s="15" t="str">
        <f aca="false">IF(D112="Feito","",IF(H112="","",IF(H112&gt;7,"⚠ envelhecida",IF(AND(C112="Alta",H112&gt;3),"⚠ alta parada",""))))</f>
        <v/>
      </c>
      <c r="J112" s="4"/>
      <c r="K112" s="4"/>
      <c r="L112" s="4"/>
    </row>
    <row r="113" customFormat="false" ht="15" hidden="false" customHeight="false" outlineLevel="0" collapsed="false">
      <c r="A113" s="15"/>
      <c r="B113" s="15"/>
      <c r="C113" s="15"/>
      <c r="D113" s="15"/>
      <c r="E113" s="28"/>
      <c r="F113" s="28"/>
      <c r="G113" s="15" t="str">
        <f aca="false">IF(AND(D113="Feito",E113&lt;&gt;"",F113&lt;&gt;""),F113-E113,"")</f>
        <v/>
      </c>
      <c r="H113" s="15" t="str">
        <f aca="true">IF(OR(D113="Feito",E113=""),"",TODAY()-E113)</f>
        <v/>
      </c>
      <c r="I113" s="15" t="str">
        <f aca="false">IF(D113="Feito","",IF(H113="","",IF(H113&gt;7,"⚠ envelhecida",IF(AND(C113="Alta",H113&gt;3),"⚠ alta parada",""))))</f>
        <v/>
      </c>
      <c r="J113" s="4"/>
      <c r="K113" s="4"/>
      <c r="L113" s="4"/>
    </row>
    <row r="114" customFormat="false" ht="15" hidden="false" customHeight="false" outlineLevel="0" collapsed="false">
      <c r="A114" s="15"/>
      <c r="B114" s="15"/>
      <c r="C114" s="15"/>
      <c r="D114" s="15"/>
      <c r="E114" s="28"/>
      <c r="F114" s="28"/>
      <c r="G114" s="15" t="str">
        <f aca="false">IF(AND(D114="Feito",E114&lt;&gt;"",F114&lt;&gt;""),F114-E114,"")</f>
        <v/>
      </c>
      <c r="H114" s="15" t="str">
        <f aca="true">IF(OR(D114="Feito",E114=""),"",TODAY()-E114)</f>
        <v/>
      </c>
      <c r="I114" s="15" t="str">
        <f aca="false">IF(D114="Feito","",IF(H114="","",IF(H114&gt;7,"⚠ envelhecida",IF(AND(C114="Alta",H114&gt;3),"⚠ alta parada",""))))</f>
        <v/>
      </c>
      <c r="J114" s="4"/>
      <c r="K114" s="4"/>
      <c r="L114" s="4"/>
    </row>
    <row r="115" customFormat="false" ht="15" hidden="false" customHeight="false" outlineLevel="0" collapsed="false">
      <c r="A115" s="15"/>
      <c r="B115" s="15"/>
      <c r="C115" s="15"/>
      <c r="D115" s="15"/>
      <c r="E115" s="28"/>
      <c r="F115" s="28"/>
      <c r="G115" s="15" t="str">
        <f aca="false">IF(AND(D115="Feito",E115&lt;&gt;"",F115&lt;&gt;""),F115-E115,"")</f>
        <v/>
      </c>
      <c r="H115" s="15" t="str">
        <f aca="true">IF(OR(D115="Feito",E115=""),"",TODAY()-E115)</f>
        <v/>
      </c>
      <c r="I115" s="15" t="str">
        <f aca="false">IF(D115="Feito","",IF(H115="","",IF(H115&gt;7,"⚠ envelhecida",IF(AND(C115="Alta",H115&gt;3),"⚠ alta parada",""))))</f>
        <v/>
      </c>
      <c r="J115" s="4"/>
      <c r="K115" s="4"/>
      <c r="L115" s="4"/>
    </row>
    <row r="116" customFormat="false" ht="15" hidden="false" customHeight="false" outlineLevel="0" collapsed="false">
      <c r="A116" s="15"/>
      <c r="B116" s="15"/>
      <c r="C116" s="15"/>
      <c r="D116" s="15"/>
      <c r="E116" s="28"/>
      <c r="F116" s="28"/>
      <c r="G116" s="15" t="str">
        <f aca="false">IF(AND(D116="Feito",E116&lt;&gt;"",F116&lt;&gt;""),F116-E116,"")</f>
        <v/>
      </c>
      <c r="H116" s="15" t="str">
        <f aca="true">IF(OR(D116="Feito",E116=""),"",TODAY()-E116)</f>
        <v/>
      </c>
      <c r="I116" s="15" t="str">
        <f aca="false">IF(D116="Feito","",IF(H116="","",IF(H116&gt;7,"⚠ envelhecida",IF(AND(C116="Alta",H116&gt;3),"⚠ alta parada",""))))</f>
        <v/>
      </c>
      <c r="J116" s="4"/>
      <c r="K116" s="4"/>
      <c r="L116" s="4"/>
    </row>
    <row r="117" customFormat="false" ht="15" hidden="false" customHeight="false" outlineLevel="0" collapsed="false">
      <c r="A117" s="15"/>
      <c r="B117" s="15"/>
      <c r="C117" s="15"/>
      <c r="D117" s="15"/>
      <c r="E117" s="28"/>
      <c r="F117" s="28"/>
      <c r="G117" s="15" t="str">
        <f aca="false">IF(AND(D117="Feito",E117&lt;&gt;"",F117&lt;&gt;""),F117-E117,"")</f>
        <v/>
      </c>
      <c r="H117" s="15" t="str">
        <f aca="true">IF(OR(D117="Feito",E117=""),"",TODAY()-E117)</f>
        <v/>
      </c>
      <c r="I117" s="15" t="str">
        <f aca="false">IF(D117="Feito","",IF(H117="","",IF(H117&gt;7,"⚠ envelhecida",IF(AND(C117="Alta",H117&gt;3),"⚠ alta parada",""))))</f>
        <v/>
      </c>
      <c r="J117" s="4"/>
      <c r="K117" s="4"/>
      <c r="L117" s="4"/>
    </row>
    <row r="118" customFormat="false" ht="15" hidden="false" customHeight="false" outlineLevel="0" collapsed="false">
      <c r="A118" s="15"/>
      <c r="B118" s="15"/>
      <c r="C118" s="15"/>
      <c r="D118" s="15"/>
      <c r="E118" s="28"/>
      <c r="F118" s="28"/>
      <c r="G118" s="15" t="str">
        <f aca="false">IF(AND(D118="Feito",E118&lt;&gt;"",F118&lt;&gt;""),F118-E118,"")</f>
        <v/>
      </c>
      <c r="H118" s="15" t="str">
        <f aca="true">IF(OR(D118="Feito",E118=""),"",TODAY()-E118)</f>
        <v/>
      </c>
      <c r="I118" s="15" t="str">
        <f aca="false">IF(D118="Feito","",IF(H118="","",IF(H118&gt;7,"⚠ envelhecida",IF(AND(C118="Alta",H118&gt;3),"⚠ alta parada",""))))</f>
        <v/>
      </c>
      <c r="J118" s="4"/>
      <c r="K118" s="4"/>
      <c r="L118" s="4"/>
    </row>
    <row r="119" customFormat="false" ht="15" hidden="false" customHeight="false" outlineLevel="0" collapsed="false">
      <c r="A119" s="15"/>
      <c r="B119" s="15"/>
      <c r="C119" s="15"/>
      <c r="D119" s="15"/>
      <c r="E119" s="28"/>
      <c r="F119" s="28"/>
      <c r="G119" s="15" t="str">
        <f aca="false">IF(AND(D119="Feito",E119&lt;&gt;"",F119&lt;&gt;""),F119-E119,"")</f>
        <v/>
      </c>
      <c r="H119" s="15" t="str">
        <f aca="true">IF(OR(D119="Feito",E119=""),"",TODAY()-E119)</f>
        <v/>
      </c>
      <c r="I119" s="15" t="str">
        <f aca="false">IF(D119="Feito","",IF(H119="","",IF(H119&gt;7,"⚠ envelhecida",IF(AND(C119="Alta",H119&gt;3),"⚠ alta parada",""))))</f>
        <v/>
      </c>
      <c r="J119" s="4"/>
      <c r="K119" s="4"/>
      <c r="L119" s="4"/>
    </row>
    <row r="120" customFormat="false" ht="15" hidden="false" customHeight="false" outlineLevel="0" collapsed="false">
      <c r="A120" s="15"/>
      <c r="B120" s="15"/>
      <c r="C120" s="15"/>
      <c r="D120" s="15"/>
      <c r="E120" s="28"/>
      <c r="F120" s="28"/>
      <c r="G120" s="15" t="str">
        <f aca="false">IF(AND(D120="Feito",E120&lt;&gt;"",F120&lt;&gt;""),F120-E120,"")</f>
        <v/>
      </c>
      <c r="H120" s="15" t="str">
        <f aca="true">IF(OR(D120="Feito",E120=""),"",TODAY()-E120)</f>
        <v/>
      </c>
      <c r="I120" s="15" t="str">
        <f aca="false">IF(D120="Feito","",IF(H120="","",IF(H120&gt;7,"⚠ envelhecida",IF(AND(C120="Alta",H120&gt;3),"⚠ alta parada",""))))</f>
        <v/>
      </c>
      <c r="J120" s="4"/>
      <c r="K120" s="4"/>
      <c r="L120" s="4"/>
    </row>
    <row r="121" customFormat="false" ht="15" hidden="false" customHeight="false" outlineLevel="0" collapsed="false">
      <c r="A121" s="15"/>
      <c r="B121" s="15"/>
      <c r="C121" s="15"/>
      <c r="D121" s="15"/>
      <c r="E121" s="28"/>
      <c r="F121" s="28"/>
      <c r="G121" s="15" t="str">
        <f aca="false">IF(AND(D121="Feito",E121&lt;&gt;"",F121&lt;&gt;""),F121-E121,"")</f>
        <v/>
      </c>
      <c r="H121" s="15" t="str">
        <f aca="true">IF(OR(D121="Feito",E121=""),"",TODAY()-E121)</f>
        <v/>
      </c>
      <c r="I121" s="15" t="str">
        <f aca="false">IF(D121="Feito","",IF(H121="","",IF(H121&gt;7,"⚠ envelhecida",IF(AND(C121="Alta",H121&gt;3),"⚠ alta parada",""))))</f>
        <v/>
      </c>
      <c r="J121" s="4"/>
      <c r="K121" s="4"/>
      <c r="L121" s="4"/>
    </row>
    <row r="122" customFormat="false" ht="15" hidden="false" customHeight="false" outlineLevel="0" collapsed="false">
      <c r="A122" s="15"/>
      <c r="B122" s="15"/>
      <c r="C122" s="15"/>
      <c r="D122" s="15"/>
      <c r="E122" s="28"/>
      <c r="F122" s="28"/>
      <c r="G122" s="15" t="str">
        <f aca="false">IF(AND(D122="Feito",E122&lt;&gt;"",F122&lt;&gt;""),F122-E122,"")</f>
        <v/>
      </c>
      <c r="H122" s="15" t="str">
        <f aca="true">IF(OR(D122="Feito",E122=""),"",TODAY()-E122)</f>
        <v/>
      </c>
      <c r="I122" s="15" t="str">
        <f aca="false">IF(D122="Feito","",IF(H122="","",IF(H122&gt;7,"⚠ envelhecida",IF(AND(C122="Alta",H122&gt;3),"⚠ alta parada",""))))</f>
        <v/>
      </c>
      <c r="J122" s="4"/>
      <c r="K122" s="4"/>
      <c r="L122" s="4"/>
    </row>
    <row r="123" customFormat="false" ht="15" hidden="false" customHeight="false" outlineLevel="0" collapsed="false">
      <c r="A123" s="15"/>
      <c r="B123" s="15"/>
      <c r="C123" s="15"/>
      <c r="D123" s="15"/>
      <c r="E123" s="28"/>
      <c r="F123" s="28"/>
      <c r="G123" s="15" t="str">
        <f aca="false">IF(AND(D123="Feito",E123&lt;&gt;"",F123&lt;&gt;""),F123-E123,"")</f>
        <v/>
      </c>
      <c r="H123" s="15" t="str">
        <f aca="true">IF(OR(D123="Feito",E123=""),"",TODAY()-E123)</f>
        <v/>
      </c>
      <c r="I123" s="15" t="str">
        <f aca="false">IF(D123="Feito","",IF(H123="","",IF(H123&gt;7,"⚠ envelhecida",IF(AND(C123="Alta",H123&gt;3),"⚠ alta parada",""))))</f>
        <v/>
      </c>
      <c r="J123" s="4"/>
      <c r="K123" s="4"/>
      <c r="L123" s="4"/>
    </row>
    <row r="124" customFormat="false" ht="15" hidden="false" customHeight="false" outlineLevel="0" collapsed="false">
      <c r="A124" s="15"/>
      <c r="B124" s="15"/>
      <c r="C124" s="15"/>
      <c r="D124" s="15"/>
      <c r="E124" s="28"/>
      <c r="F124" s="28"/>
      <c r="G124" s="15" t="str">
        <f aca="false">IF(AND(D124="Feito",E124&lt;&gt;"",F124&lt;&gt;""),F124-E124,"")</f>
        <v/>
      </c>
      <c r="H124" s="15" t="str">
        <f aca="true">IF(OR(D124="Feito",E124=""),"",TODAY()-E124)</f>
        <v/>
      </c>
      <c r="I124" s="15" t="str">
        <f aca="false">IF(D124="Feito","",IF(H124="","",IF(H124&gt;7,"⚠ envelhecida",IF(AND(C124="Alta",H124&gt;3),"⚠ alta parada",""))))</f>
        <v/>
      </c>
      <c r="J124" s="4"/>
      <c r="K124" s="4"/>
      <c r="L124" s="4"/>
    </row>
    <row r="125" customFormat="false" ht="15" hidden="false" customHeight="false" outlineLevel="0" collapsed="false">
      <c r="A125" s="15"/>
      <c r="B125" s="15"/>
      <c r="C125" s="15"/>
      <c r="D125" s="15"/>
      <c r="E125" s="28"/>
      <c r="F125" s="28"/>
      <c r="G125" s="15" t="str">
        <f aca="false">IF(AND(D125="Feito",E125&lt;&gt;"",F125&lt;&gt;""),F125-E125,"")</f>
        <v/>
      </c>
      <c r="H125" s="15" t="str">
        <f aca="true">IF(OR(D125="Feito",E125=""),"",TODAY()-E125)</f>
        <v/>
      </c>
      <c r="I125" s="15" t="str">
        <f aca="false">IF(D125="Feito","",IF(H125="","",IF(H125&gt;7,"⚠ envelhecida",IF(AND(C125="Alta",H125&gt;3),"⚠ alta parada",""))))</f>
        <v/>
      </c>
      <c r="J125" s="4"/>
      <c r="K125" s="4"/>
      <c r="L125" s="4"/>
    </row>
    <row r="126" customFormat="false" ht="15" hidden="false" customHeight="false" outlineLevel="0" collapsed="false">
      <c r="A126" s="15"/>
      <c r="B126" s="15"/>
      <c r="C126" s="15"/>
      <c r="D126" s="15"/>
      <c r="E126" s="28"/>
      <c r="F126" s="28"/>
      <c r="G126" s="15" t="str">
        <f aca="false">IF(AND(D126="Feito",E126&lt;&gt;"",F126&lt;&gt;""),F126-E126,"")</f>
        <v/>
      </c>
      <c r="H126" s="15" t="str">
        <f aca="true">IF(OR(D126="Feito",E126=""),"",TODAY()-E126)</f>
        <v/>
      </c>
      <c r="I126" s="15" t="str">
        <f aca="false">IF(D126="Feito","",IF(H126="","",IF(H126&gt;7,"⚠ envelhecida",IF(AND(C126="Alta",H126&gt;3),"⚠ alta parada",""))))</f>
        <v/>
      </c>
      <c r="J126" s="4"/>
      <c r="K126" s="4"/>
      <c r="L126" s="4"/>
    </row>
    <row r="127" customFormat="false" ht="15" hidden="false" customHeight="false" outlineLevel="0" collapsed="false">
      <c r="A127" s="15"/>
      <c r="B127" s="15"/>
      <c r="C127" s="15"/>
      <c r="D127" s="15"/>
      <c r="E127" s="28"/>
      <c r="F127" s="28"/>
      <c r="G127" s="15" t="str">
        <f aca="false">IF(AND(D127="Feito",E127&lt;&gt;"",F127&lt;&gt;""),F127-E127,"")</f>
        <v/>
      </c>
      <c r="H127" s="15" t="str">
        <f aca="true">IF(OR(D127="Feito",E127=""),"",TODAY()-E127)</f>
        <v/>
      </c>
      <c r="I127" s="15" t="str">
        <f aca="false">IF(D127="Feito","",IF(H127="","",IF(H127&gt;7,"⚠ envelhecida",IF(AND(C127="Alta",H127&gt;3),"⚠ alta parada",""))))</f>
        <v/>
      </c>
      <c r="J127" s="4"/>
      <c r="K127" s="4"/>
      <c r="L127" s="4"/>
    </row>
    <row r="128" customFormat="false" ht="15" hidden="false" customHeight="false" outlineLevel="0" collapsed="false">
      <c r="A128" s="15"/>
      <c r="B128" s="15"/>
      <c r="C128" s="15"/>
      <c r="D128" s="15"/>
      <c r="E128" s="28"/>
      <c r="F128" s="28"/>
      <c r="G128" s="15" t="str">
        <f aca="false">IF(AND(D128="Feito",E128&lt;&gt;"",F128&lt;&gt;""),F128-E128,"")</f>
        <v/>
      </c>
      <c r="H128" s="15" t="str">
        <f aca="true">IF(OR(D128="Feito",E128=""),"",TODAY()-E128)</f>
        <v/>
      </c>
      <c r="I128" s="15" t="str">
        <f aca="false">IF(D128="Feito","",IF(H128="","",IF(H128&gt;7,"⚠ envelhecida",IF(AND(C128="Alta",H128&gt;3),"⚠ alta parada",""))))</f>
        <v/>
      </c>
      <c r="J128" s="4"/>
      <c r="K128" s="4"/>
      <c r="L128" s="4"/>
    </row>
    <row r="129" customFormat="false" ht="15" hidden="false" customHeight="false" outlineLevel="0" collapsed="false">
      <c r="A129" s="15"/>
      <c r="B129" s="15"/>
      <c r="C129" s="15"/>
      <c r="D129" s="15"/>
      <c r="E129" s="28"/>
      <c r="F129" s="28"/>
      <c r="G129" s="15" t="str">
        <f aca="false">IF(AND(D129="Feito",E129&lt;&gt;"",F129&lt;&gt;""),F129-E129,"")</f>
        <v/>
      </c>
      <c r="H129" s="15" t="str">
        <f aca="true">IF(OR(D129="Feito",E129=""),"",TODAY()-E129)</f>
        <v/>
      </c>
      <c r="I129" s="15" t="str">
        <f aca="false">IF(D129="Feito","",IF(H129="","",IF(H129&gt;7,"⚠ envelhecida",IF(AND(C129="Alta",H129&gt;3),"⚠ alta parada",""))))</f>
        <v/>
      </c>
      <c r="J129" s="4"/>
      <c r="K129" s="4"/>
      <c r="L129" s="4"/>
    </row>
    <row r="130" customFormat="false" ht="15" hidden="false" customHeight="false" outlineLevel="0" collapsed="false">
      <c r="A130" s="15"/>
      <c r="B130" s="15"/>
      <c r="C130" s="15"/>
      <c r="D130" s="15"/>
      <c r="E130" s="28"/>
      <c r="F130" s="28"/>
      <c r="G130" s="15" t="str">
        <f aca="false">IF(AND(D130="Feito",E130&lt;&gt;"",F130&lt;&gt;""),F130-E130,"")</f>
        <v/>
      </c>
      <c r="H130" s="15" t="str">
        <f aca="true">IF(OR(D130="Feito",E130=""),"",TODAY()-E130)</f>
        <v/>
      </c>
      <c r="I130" s="15" t="str">
        <f aca="false">IF(D130="Feito","",IF(H130="","",IF(H130&gt;7,"⚠ envelhecida",IF(AND(C130="Alta",H130&gt;3),"⚠ alta parada",""))))</f>
        <v/>
      </c>
      <c r="J130" s="4"/>
      <c r="K130" s="4"/>
      <c r="L130" s="4"/>
    </row>
    <row r="131" customFormat="false" ht="15" hidden="false" customHeight="false" outlineLevel="0" collapsed="false">
      <c r="A131" s="15"/>
      <c r="B131" s="15"/>
      <c r="C131" s="15"/>
      <c r="D131" s="15"/>
      <c r="E131" s="28"/>
      <c r="F131" s="28"/>
      <c r="G131" s="15" t="str">
        <f aca="false">IF(AND(D131="Feito",E131&lt;&gt;"",F131&lt;&gt;""),F131-E131,"")</f>
        <v/>
      </c>
      <c r="H131" s="15" t="str">
        <f aca="true">IF(OR(D131="Feito",E131=""),"",TODAY()-E131)</f>
        <v/>
      </c>
      <c r="I131" s="15" t="str">
        <f aca="false">IF(D131="Feito","",IF(H131="","",IF(H131&gt;7,"⚠ envelhecida",IF(AND(C131="Alta",H131&gt;3),"⚠ alta parada",""))))</f>
        <v/>
      </c>
      <c r="J131" s="4"/>
      <c r="K131" s="4"/>
      <c r="L131" s="4"/>
    </row>
    <row r="132" customFormat="false" ht="15" hidden="false" customHeight="false" outlineLevel="0" collapsed="false">
      <c r="A132" s="15"/>
      <c r="B132" s="15"/>
      <c r="C132" s="15"/>
      <c r="D132" s="15"/>
      <c r="E132" s="28"/>
      <c r="F132" s="28"/>
      <c r="G132" s="15" t="str">
        <f aca="false">IF(AND(D132="Feito",E132&lt;&gt;"",F132&lt;&gt;""),F132-E132,"")</f>
        <v/>
      </c>
      <c r="H132" s="15" t="str">
        <f aca="true">IF(OR(D132="Feito",E132=""),"",TODAY()-E132)</f>
        <v/>
      </c>
      <c r="I132" s="15" t="str">
        <f aca="false">IF(D132="Feito","",IF(H132="","",IF(H132&gt;7,"⚠ envelhecida",IF(AND(C132="Alta",H132&gt;3),"⚠ alta parada",""))))</f>
        <v/>
      </c>
      <c r="J132" s="4"/>
      <c r="K132" s="4"/>
      <c r="L132" s="4"/>
    </row>
    <row r="133" customFormat="false" ht="15" hidden="false" customHeight="false" outlineLevel="0" collapsed="false">
      <c r="A133" s="15"/>
      <c r="B133" s="15"/>
      <c r="C133" s="15"/>
      <c r="D133" s="15"/>
      <c r="E133" s="28"/>
      <c r="F133" s="28"/>
      <c r="G133" s="15" t="str">
        <f aca="false">IF(AND(D133="Feito",E133&lt;&gt;"",F133&lt;&gt;""),F133-E133,"")</f>
        <v/>
      </c>
      <c r="H133" s="15" t="str">
        <f aca="true">IF(OR(D133="Feito",E133=""),"",TODAY()-E133)</f>
        <v/>
      </c>
      <c r="I133" s="15" t="str">
        <f aca="false">IF(D133="Feito","",IF(H133="","",IF(H133&gt;7,"⚠ envelhecida",IF(AND(C133="Alta",H133&gt;3),"⚠ alta parada",""))))</f>
        <v/>
      </c>
      <c r="J133" s="4"/>
      <c r="K133" s="4"/>
      <c r="L133" s="4"/>
    </row>
    <row r="134" customFormat="false" ht="15" hidden="false" customHeight="false" outlineLevel="0" collapsed="false">
      <c r="A134" s="15"/>
      <c r="B134" s="15"/>
      <c r="C134" s="15"/>
      <c r="D134" s="15"/>
      <c r="E134" s="28"/>
      <c r="F134" s="28"/>
      <c r="G134" s="15" t="str">
        <f aca="false">IF(AND(D134="Feito",E134&lt;&gt;"",F134&lt;&gt;""),F134-E134,"")</f>
        <v/>
      </c>
      <c r="H134" s="15" t="str">
        <f aca="true">IF(OR(D134="Feito",E134=""),"",TODAY()-E134)</f>
        <v/>
      </c>
      <c r="I134" s="15" t="str">
        <f aca="false">IF(D134="Feito","",IF(H134="","",IF(H134&gt;7,"⚠ envelhecida",IF(AND(C134="Alta",H134&gt;3),"⚠ alta parada",""))))</f>
        <v/>
      </c>
      <c r="J134" s="4"/>
      <c r="K134" s="4"/>
      <c r="L134" s="4"/>
    </row>
    <row r="135" customFormat="false" ht="15" hidden="false" customHeight="false" outlineLevel="0" collapsed="false">
      <c r="A135" s="15"/>
      <c r="B135" s="15"/>
      <c r="C135" s="15"/>
      <c r="D135" s="15"/>
      <c r="E135" s="28"/>
      <c r="F135" s="28"/>
      <c r="G135" s="15" t="str">
        <f aca="false">IF(AND(D135="Feito",E135&lt;&gt;"",F135&lt;&gt;""),F135-E135,"")</f>
        <v/>
      </c>
      <c r="H135" s="15" t="str">
        <f aca="true">IF(OR(D135="Feito",E135=""),"",TODAY()-E135)</f>
        <v/>
      </c>
      <c r="I135" s="15" t="str">
        <f aca="false">IF(D135="Feito","",IF(H135="","",IF(H135&gt;7,"⚠ envelhecida",IF(AND(C135="Alta",H135&gt;3),"⚠ alta parada",""))))</f>
        <v/>
      </c>
      <c r="J135" s="4"/>
      <c r="K135" s="4"/>
      <c r="L135" s="4"/>
    </row>
    <row r="136" customFormat="false" ht="15" hidden="false" customHeight="false" outlineLevel="0" collapsed="false">
      <c r="A136" s="15"/>
      <c r="B136" s="15"/>
      <c r="C136" s="15"/>
      <c r="D136" s="15"/>
      <c r="E136" s="28"/>
      <c r="F136" s="28"/>
      <c r="G136" s="15" t="str">
        <f aca="false">IF(AND(D136="Feito",E136&lt;&gt;"",F136&lt;&gt;""),F136-E136,"")</f>
        <v/>
      </c>
      <c r="H136" s="15" t="str">
        <f aca="true">IF(OR(D136="Feito",E136=""),"",TODAY()-E136)</f>
        <v/>
      </c>
      <c r="I136" s="15" t="str">
        <f aca="false">IF(D136="Feito","",IF(H136="","",IF(H136&gt;7,"⚠ envelhecida",IF(AND(C136="Alta",H136&gt;3),"⚠ alta parada",""))))</f>
        <v/>
      </c>
      <c r="J136" s="4"/>
      <c r="K136" s="4"/>
      <c r="L136" s="4"/>
    </row>
    <row r="137" customFormat="false" ht="15" hidden="false" customHeight="false" outlineLevel="0" collapsed="false">
      <c r="A137" s="15"/>
      <c r="B137" s="15"/>
      <c r="C137" s="15"/>
      <c r="D137" s="15"/>
      <c r="E137" s="28"/>
      <c r="F137" s="28"/>
      <c r="G137" s="15" t="str">
        <f aca="false">IF(AND(D137="Feito",E137&lt;&gt;"",F137&lt;&gt;""),F137-E137,"")</f>
        <v/>
      </c>
      <c r="H137" s="15" t="str">
        <f aca="true">IF(OR(D137="Feito",E137=""),"",TODAY()-E137)</f>
        <v/>
      </c>
      <c r="I137" s="15" t="str">
        <f aca="false">IF(D137="Feito","",IF(H137="","",IF(H137&gt;7,"⚠ envelhecida",IF(AND(C137="Alta",H137&gt;3),"⚠ alta parada",""))))</f>
        <v/>
      </c>
      <c r="J137" s="4"/>
      <c r="K137" s="4"/>
      <c r="L137" s="4"/>
    </row>
    <row r="138" customFormat="false" ht="15" hidden="false" customHeight="false" outlineLevel="0" collapsed="false">
      <c r="A138" s="15"/>
      <c r="B138" s="15"/>
      <c r="C138" s="15"/>
      <c r="D138" s="15"/>
      <c r="E138" s="28"/>
      <c r="F138" s="28"/>
      <c r="G138" s="15" t="str">
        <f aca="false">IF(AND(D138="Feito",E138&lt;&gt;"",F138&lt;&gt;""),F138-E138,"")</f>
        <v/>
      </c>
      <c r="H138" s="15" t="str">
        <f aca="true">IF(OR(D138="Feito",E138=""),"",TODAY()-E138)</f>
        <v/>
      </c>
      <c r="I138" s="15" t="str">
        <f aca="false">IF(D138="Feito","",IF(H138="","",IF(H138&gt;7,"⚠ envelhecida",IF(AND(C138="Alta",H138&gt;3),"⚠ alta parada",""))))</f>
        <v/>
      </c>
      <c r="J138" s="4"/>
      <c r="K138" s="4"/>
      <c r="L138" s="4"/>
    </row>
    <row r="139" customFormat="false" ht="15" hidden="false" customHeight="false" outlineLevel="0" collapsed="false">
      <c r="A139" s="15"/>
      <c r="B139" s="15"/>
      <c r="C139" s="15"/>
      <c r="D139" s="15"/>
      <c r="E139" s="28"/>
      <c r="F139" s="28"/>
      <c r="G139" s="15" t="str">
        <f aca="false">IF(AND(D139="Feito",E139&lt;&gt;"",F139&lt;&gt;""),F139-E139,"")</f>
        <v/>
      </c>
      <c r="H139" s="15" t="str">
        <f aca="true">IF(OR(D139="Feito",E139=""),"",TODAY()-E139)</f>
        <v/>
      </c>
      <c r="I139" s="15" t="str">
        <f aca="false">IF(D139="Feito","",IF(H139="","",IF(H139&gt;7,"⚠ envelhecida",IF(AND(C139="Alta",H139&gt;3),"⚠ alta parada",""))))</f>
        <v/>
      </c>
      <c r="J139" s="4"/>
      <c r="K139" s="4"/>
      <c r="L139" s="4"/>
    </row>
    <row r="140" customFormat="false" ht="15" hidden="false" customHeight="false" outlineLevel="0" collapsed="false">
      <c r="A140" s="15"/>
      <c r="B140" s="15"/>
      <c r="C140" s="15"/>
      <c r="D140" s="15"/>
      <c r="E140" s="28"/>
      <c r="F140" s="28"/>
      <c r="G140" s="15" t="str">
        <f aca="false">IF(AND(D140="Feito",E140&lt;&gt;"",F140&lt;&gt;""),F140-E140,"")</f>
        <v/>
      </c>
      <c r="H140" s="15" t="str">
        <f aca="true">IF(OR(D140="Feito",E140=""),"",TODAY()-E140)</f>
        <v/>
      </c>
      <c r="I140" s="15" t="str">
        <f aca="false">IF(D140="Feito","",IF(H140="","",IF(H140&gt;7,"⚠ envelhecida",IF(AND(C140="Alta",H140&gt;3),"⚠ alta parada",""))))</f>
        <v/>
      </c>
      <c r="J140" s="4"/>
      <c r="K140" s="4"/>
      <c r="L140" s="4"/>
    </row>
    <row r="141" customFormat="false" ht="15" hidden="false" customHeight="false" outlineLevel="0" collapsed="false">
      <c r="A141" s="15"/>
      <c r="B141" s="15"/>
      <c r="C141" s="15"/>
      <c r="D141" s="15"/>
      <c r="E141" s="28"/>
      <c r="F141" s="28"/>
      <c r="G141" s="15" t="str">
        <f aca="false">IF(AND(D141="Feito",E141&lt;&gt;"",F141&lt;&gt;""),F141-E141,"")</f>
        <v/>
      </c>
      <c r="H141" s="15" t="str">
        <f aca="true">IF(OR(D141="Feito",E141=""),"",TODAY()-E141)</f>
        <v/>
      </c>
      <c r="I141" s="15" t="str">
        <f aca="false">IF(D141="Feito","",IF(H141="","",IF(H141&gt;7,"⚠ envelhecida",IF(AND(C141="Alta",H141&gt;3),"⚠ alta parada",""))))</f>
        <v/>
      </c>
      <c r="J141" s="4"/>
      <c r="K141" s="4"/>
      <c r="L141" s="4"/>
    </row>
    <row r="142" customFormat="false" ht="15" hidden="false" customHeight="false" outlineLevel="0" collapsed="false">
      <c r="A142" s="15"/>
      <c r="B142" s="15"/>
      <c r="C142" s="15"/>
      <c r="D142" s="15"/>
      <c r="E142" s="28"/>
      <c r="F142" s="28"/>
      <c r="G142" s="15" t="str">
        <f aca="false">IF(AND(D142="Feito",E142&lt;&gt;"",F142&lt;&gt;""),F142-E142,"")</f>
        <v/>
      </c>
      <c r="H142" s="15" t="str">
        <f aca="true">IF(OR(D142="Feito",E142=""),"",TODAY()-E142)</f>
        <v/>
      </c>
      <c r="I142" s="15" t="str">
        <f aca="false">IF(D142="Feito","",IF(H142="","",IF(H142&gt;7,"⚠ envelhecida",IF(AND(C142="Alta",H142&gt;3),"⚠ alta parada",""))))</f>
        <v/>
      </c>
      <c r="J142" s="4"/>
      <c r="K142" s="4"/>
      <c r="L142" s="4"/>
    </row>
    <row r="143" customFormat="false" ht="15" hidden="false" customHeight="false" outlineLevel="0" collapsed="false">
      <c r="A143" s="15"/>
      <c r="B143" s="15"/>
      <c r="C143" s="15"/>
      <c r="D143" s="15"/>
      <c r="E143" s="28"/>
      <c r="F143" s="28"/>
      <c r="G143" s="15" t="str">
        <f aca="false">IF(AND(D143="Feito",E143&lt;&gt;"",F143&lt;&gt;""),F143-E143,"")</f>
        <v/>
      </c>
      <c r="H143" s="15" t="str">
        <f aca="true">IF(OR(D143="Feito",E143=""),"",TODAY()-E143)</f>
        <v/>
      </c>
      <c r="I143" s="15" t="str">
        <f aca="false">IF(D143="Feito","",IF(H143="","",IF(H143&gt;7,"⚠ envelhecida",IF(AND(C143="Alta",H143&gt;3),"⚠ alta parada",""))))</f>
        <v/>
      </c>
      <c r="J143" s="4"/>
      <c r="K143" s="4"/>
      <c r="L143" s="4"/>
    </row>
    <row r="144" customFormat="false" ht="15" hidden="false" customHeight="false" outlineLevel="0" collapsed="false">
      <c r="A144" s="15"/>
      <c r="B144" s="15"/>
      <c r="C144" s="15"/>
      <c r="D144" s="15"/>
      <c r="E144" s="28"/>
      <c r="F144" s="28"/>
      <c r="G144" s="15" t="str">
        <f aca="false">IF(AND(D144="Feito",E144&lt;&gt;"",F144&lt;&gt;""),F144-E144,"")</f>
        <v/>
      </c>
      <c r="H144" s="15" t="str">
        <f aca="true">IF(OR(D144="Feito",E144=""),"",TODAY()-E144)</f>
        <v/>
      </c>
      <c r="I144" s="15" t="str">
        <f aca="false">IF(D144="Feito","",IF(H144="","",IF(H144&gt;7,"⚠ envelhecida",IF(AND(C144="Alta",H144&gt;3),"⚠ alta parada",""))))</f>
        <v/>
      </c>
      <c r="J144" s="4"/>
      <c r="K144" s="4"/>
      <c r="L144" s="4"/>
    </row>
    <row r="145" customFormat="false" ht="15" hidden="false" customHeight="false" outlineLevel="0" collapsed="false">
      <c r="A145" s="15"/>
      <c r="B145" s="15"/>
      <c r="C145" s="15"/>
      <c r="D145" s="15"/>
      <c r="E145" s="28"/>
      <c r="F145" s="28"/>
      <c r="G145" s="15" t="str">
        <f aca="false">IF(AND(D145="Feito",E145&lt;&gt;"",F145&lt;&gt;""),F145-E145,"")</f>
        <v/>
      </c>
      <c r="H145" s="15" t="str">
        <f aca="true">IF(OR(D145="Feito",E145=""),"",TODAY()-E145)</f>
        <v/>
      </c>
      <c r="I145" s="15" t="str">
        <f aca="false">IF(D145="Feito","",IF(H145="","",IF(H145&gt;7,"⚠ envelhecida",IF(AND(C145="Alta",H145&gt;3),"⚠ alta parada",""))))</f>
        <v/>
      </c>
      <c r="J145" s="4"/>
      <c r="K145" s="4"/>
      <c r="L145" s="4"/>
    </row>
    <row r="146" customFormat="false" ht="15" hidden="false" customHeight="false" outlineLevel="0" collapsed="false">
      <c r="A146" s="15"/>
      <c r="B146" s="15"/>
      <c r="C146" s="15"/>
      <c r="D146" s="15"/>
      <c r="E146" s="28"/>
      <c r="F146" s="28"/>
      <c r="G146" s="15" t="str">
        <f aca="false">IF(AND(D146="Feito",E146&lt;&gt;"",F146&lt;&gt;""),F146-E146,"")</f>
        <v/>
      </c>
      <c r="H146" s="15" t="str">
        <f aca="true">IF(OR(D146="Feito",E146=""),"",TODAY()-E146)</f>
        <v/>
      </c>
      <c r="I146" s="15" t="str">
        <f aca="false">IF(D146="Feito","",IF(H146="","",IF(H146&gt;7,"⚠ envelhecida",IF(AND(C146="Alta",H146&gt;3),"⚠ alta parada",""))))</f>
        <v/>
      </c>
      <c r="J146" s="4"/>
      <c r="K146" s="4"/>
      <c r="L146" s="4"/>
    </row>
    <row r="147" customFormat="false" ht="15" hidden="false" customHeight="false" outlineLevel="0" collapsed="false">
      <c r="A147" s="15"/>
      <c r="B147" s="15"/>
      <c r="C147" s="15"/>
      <c r="D147" s="15"/>
      <c r="E147" s="28"/>
      <c r="F147" s="28"/>
      <c r="G147" s="15" t="str">
        <f aca="false">IF(AND(D147="Feito",E147&lt;&gt;"",F147&lt;&gt;""),F147-E147,"")</f>
        <v/>
      </c>
      <c r="H147" s="15" t="str">
        <f aca="true">IF(OR(D147="Feito",E147=""),"",TODAY()-E147)</f>
        <v/>
      </c>
      <c r="I147" s="15" t="str">
        <f aca="false">IF(D147="Feito","",IF(H147="","",IF(H147&gt;7,"⚠ envelhecida",IF(AND(C147="Alta",H147&gt;3),"⚠ alta parada",""))))</f>
        <v/>
      </c>
      <c r="J147" s="4"/>
      <c r="K147" s="4"/>
      <c r="L147" s="4"/>
    </row>
    <row r="148" customFormat="false" ht="15" hidden="false" customHeight="false" outlineLevel="0" collapsed="false">
      <c r="A148" s="15"/>
      <c r="B148" s="15"/>
      <c r="C148" s="15"/>
      <c r="D148" s="15"/>
      <c r="E148" s="28"/>
      <c r="F148" s="28"/>
      <c r="G148" s="15" t="str">
        <f aca="false">IF(AND(D148="Feito",E148&lt;&gt;"",F148&lt;&gt;""),F148-E148,"")</f>
        <v/>
      </c>
      <c r="H148" s="15" t="str">
        <f aca="true">IF(OR(D148="Feito",E148=""),"",TODAY()-E148)</f>
        <v/>
      </c>
      <c r="I148" s="15" t="str">
        <f aca="false">IF(D148="Feito","",IF(H148="","",IF(H148&gt;7,"⚠ envelhecida",IF(AND(C148="Alta",H148&gt;3),"⚠ alta parada",""))))</f>
        <v/>
      </c>
      <c r="J148" s="4"/>
      <c r="K148" s="4"/>
      <c r="L148" s="4"/>
    </row>
    <row r="149" customFormat="false" ht="15" hidden="false" customHeight="false" outlineLevel="0" collapsed="false">
      <c r="A149" s="15"/>
      <c r="B149" s="15"/>
      <c r="C149" s="15"/>
      <c r="D149" s="15"/>
      <c r="E149" s="28"/>
      <c r="F149" s="28"/>
      <c r="G149" s="15" t="str">
        <f aca="false">IF(AND(D149="Feito",E149&lt;&gt;"",F149&lt;&gt;""),F149-E149,"")</f>
        <v/>
      </c>
      <c r="H149" s="15" t="str">
        <f aca="true">IF(OR(D149="Feito",E149=""),"",TODAY()-E149)</f>
        <v/>
      </c>
      <c r="I149" s="15" t="str">
        <f aca="false">IF(D149="Feito","",IF(H149="","",IF(H149&gt;7,"⚠ envelhecida",IF(AND(C149="Alta",H149&gt;3),"⚠ alta parada",""))))</f>
        <v/>
      </c>
      <c r="J149" s="4"/>
      <c r="K149" s="4"/>
      <c r="L149" s="4"/>
    </row>
    <row r="150" customFormat="false" ht="15" hidden="false" customHeight="false" outlineLevel="0" collapsed="false">
      <c r="A150" s="15"/>
      <c r="B150" s="15"/>
      <c r="C150" s="15"/>
      <c r="D150" s="15"/>
      <c r="E150" s="28"/>
      <c r="F150" s="28"/>
      <c r="G150" s="15" t="str">
        <f aca="false">IF(AND(D150="Feito",E150&lt;&gt;"",F150&lt;&gt;""),F150-E150,"")</f>
        <v/>
      </c>
      <c r="H150" s="15" t="str">
        <f aca="true">IF(OR(D150="Feito",E150=""),"",TODAY()-E150)</f>
        <v/>
      </c>
      <c r="I150" s="15" t="str">
        <f aca="false">IF(D150="Feito","",IF(H150="","",IF(H150&gt;7,"⚠ envelhecida",IF(AND(C150="Alta",H150&gt;3),"⚠ alta parada",""))))</f>
        <v/>
      </c>
      <c r="J150" s="4"/>
      <c r="K150" s="4"/>
      <c r="L150" s="4"/>
    </row>
    <row r="151" customFormat="false" ht="15" hidden="false" customHeight="false" outlineLevel="0" collapsed="false">
      <c r="A151" s="15"/>
      <c r="B151" s="15"/>
      <c r="C151" s="15"/>
      <c r="D151" s="15"/>
      <c r="E151" s="28"/>
      <c r="F151" s="28"/>
      <c r="G151" s="15" t="str">
        <f aca="false">IF(AND(D151="Feito",E151&lt;&gt;"",F151&lt;&gt;""),F151-E151,"")</f>
        <v/>
      </c>
      <c r="H151" s="15" t="str">
        <f aca="true">IF(OR(D151="Feito",E151=""),"",TODAY()-E151)</f>
        <v/>
      </c>
      <c r="I151" s="15" t="str">
        <f aca="false">IF(D151="Feito","",IF(H151="","",IF(H151&gt;7,"⚠ envelhecida",IF(AND(C151="Alta",H151&gt;3),"⚠ alta parada",""))))</f>
        <v/>
      </c>
      <c r="J151" s="4"/>
      <c r="K151" s="4"/>
      <c r="L151" s="4"/>
    </row>
    <row r="152" customFormat="false" ht="15" hidden="false" customHeight="false" outlineLevel="0" collapsed="false">
      <c r="A152" s="15"/>
      <c r="B152" s="15"/>
      <c r="C152" s="15"/>
      <c r="D152" s="15"/>
      <c r="E152" s="28"/>
      <c r="F152" s="28"/>
      <c r="G152" s="15" t="str">
        <f aca="false">IF(AND(D152="Feito",E152&lt;&gt;"",F152&lt;&gt;""),F152-E152,"")</f>
        <v/>
      </c>
      <c r="H152" s="15" t="str">
        <f aca="true">IF(OR(D152="Feito",E152=""),"",TODAY()-E152)</f>
        <v/>
      </c>
      <c r="I152" s="15" t="str">
        <f aca="false">IF(D152="Feito","",IF(H152="","",IF(H152&gt;7,"⚠ envelhecida",IF(AND(C152="Alta",H152&gt;3),"⚠ alta parada",""))))</f>
        <v/>
      </c>
      <c r="J152" s="4"/>
      <c r="K152" s="4"/>
      <c r="L152" s="4"/>
    </row>
    <row r="153" customFormat="false" ht="15" hidden="false" customHeight="false" outlineLevel="0" collapsed="false">
      <c r="A153" s="15"/>
      <c r="B153" s="15"/>
      <c r="C153" s="15"/>
      <c r="D153" s="15"/>
      <c r="E153" s="28"/>
      <c r="F153" s="28"/>
      <c r="G153" s="15" t="str">
        <f aca="false">IF(AND(D153="Feito",E153&lt;&gt;"",F153&lt;&gt;""),F153-E153,"")</f>
        <v/>
      </c>
      <c r="H153" s="15" t="str">
        <f aca="true">IF(OR(D153="Feito",E153=""),"",TODAY()-E153)</f>
        <v/>
      </c>
      <c r="I153" s="15" t="str">
        <f aca="false">IF(D153="Feito","",IF(H153="","",IF(H153&gt;7,"⚠ envelhecida",IF(AND(C153="Alta",H153&gt;3),"⚠ alta parada",""))))</f>
        <v/>
      </c>
      <c r="J153" s="4"/>
      <c r="K153" s="4"/>
      <c r="L153" s="4"/>
    </row>
    <row r="154" customFormat="false" ht="15" hidden="false" customHeight="false" outlineLevel="0" collapsed="false">
      <c r="A154" s="15"/>
      <c r="B154" s="15"/>
      <c r="C154" s="15"/>
      <c r="D154" s="15"/>
      <c r="E154" s="28"/>
      <c r="F154" s="28"/>
      <c r="G154" s="15" t="str">
        <f aca="false">IF(AND(D154="Feito",E154&lt;&gt;"",F154&lt;&gt;""),F154-E154,"")</f>
        <v/>
      </c>
      <c r="H154" s="15" t="str">
        <f aca="true">IF(OR(D154="Feito",E154=""),"",TODAY()-E154)</f>
        <v/>
      </c>
      <c r="I154" s="15" t="str">
        <f aca="false">IF(D154="Feito","",IF(H154="","",IF(H154&gt;7,"⚠ envelhecida",IF(AND(C154="Alta",H154&gt;3),"⚠ alta parada",""))))</f>
        <v/>
      </c>
      <c r="J154" s="4"/>
      <c r="K154" s="4"/>
      <c r="L154" s="4"/>
    </row>
    <row r="155" customFormat="false" ht="15" hidden="false" customHeight="false" outlineLevel="0" collapsed="false">
      <c r="A155" s="15"/>
      <c r="B155" s="15"/>
      <c r="C155" s="15"/>
      <c r="D155" s="15"/>
      <c r="E155" s="28"/>
      <c r="F155" s="28"/>
      <c r="G155" s="15" t="str">
        <f aca="false">IF(AND(D155="Feito",E155&lt;&gt;"",F155&lt;&gt;""),F155-E155,"")</f>
        <v/>
      </c>
      <c r="H155" s="15" t="str">
        <f aca="true">IF(OR(D155="Feito",E155=""),"",TODAY()-E155)</f>
        <v/>
      </c>
      <c r="I155" s="15" t="str">
        <f aca="false">IF(D155="Feito","",IF(H155="","",IF(H155&gt;7,"⚠ envelhecida",IF(AND(C155="Alta",H155&gt;3),"⚠ alta parada",""))))</f>
        <v/>
      </c>
      <c r="J155" s="4"/>
      <c r="K155" s="4"/>
      <c r="L155" s="4"/>
    </row>
    <row r="156" customFormat="false" ht="15" hidden="false" customHeight="false" outlineLevel="0" collapsed="false">
      <c r="A156" s="15"/>
      <c r="B156" s="15"/>
      <c r="C156" s="15"/>
      <c r="D156" s="15"/>
      <c r="E156" s="28"/>
      <c r="F156" s="28"/>
      <c r="G156" s="15" t="str">
        <f aca="false">IF(AND(D156="Feito",E156&lt;&gt;"",F156&lt;&gt;""),F156-E156,"")</f>
        <v/>
      </c>
      <c r="H156" s="15" t="str">
        <f aca="true">IF(OR(D156="Feito",E156=""),"",TODAY()-E156)</f>
        <v/>
      </c>
      <c r="I156" s="15" t="str">
        <f aca="false">IF(D156="Feito","",IF(H156="","",IF(H156&gt;7,"⚠ envelhecida",IF(AND(C156="Alta",H156&gt;3),"⚠ alta parada",""))))</f>
        <v/>
      </c>
      <c r="J156" s="4"/>
      <c r="K156" s="4"/>
      <c r="L156" s="4"/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3">
    <mergeCell ref="A1:I1"/>
    <mergeCell ref="A2:I2"/>
    <mergeCell ref="A3:I3"/>
  </mergeCells>
  <conditionalFormatting sqref="H6:H156">
    <cfRule type="colorScale" priority="2">
      <colorScale>
        <cfvo type="num" val="0"/>
        <cfvo type="num" val="5"/>
        <cfvo type="num" val="10"/>
        <color rgb="FF2E9E5B"/>
        <color rgb="FFE0A94B"/>
        <color rgb="FFD9534F"/>
      </colorScale>
    </cfRule>
  </conditionalFormatting>
  <conditionalFormatting sqref="I6:I156">
    <cfRule type="expression" priority="3" aboveAverage="0" equalAverage="0" bottom="0" percent="0" rank="0" text="" dxfId="2">
      <formula>ISNUMBER(SEARCH("⚠",I6))</formula>
    </cfRule>
  </conditionalFormatting>
  <dataValidations count="3">
    <dataValidation allowBlank="true" error="Selecione um valor da lista" errorStyle="stop" errorTitle="Valor inválido" operator="between" prompt="Escolha uma opção" promptTitle="Trust Excel" showDropDown="false" showErrorMessage="false" showInputMessage="false" sqref="C6:C156" type="list">
      <formula1>"Alta,Média,Baixa"</formula1>
      <formula2>0</formula2>
    </dataValidation>
    <dataValidation allowBlank="true" error="Selecione um valor da lista" errorStyle="stop" errorTitle="Valor inválido" operator="between" prompt="Escolha uma opção" promptTitle="Trust Excel" showDropDown="false" showErrorMessage="false" showInputMessage="false" sqref="D6:D156" type="list">
      <formula1>"A fazer,Fazendo,Feito"</formula1>
      <formula2>0</formula2>
    </dataValidation>
    <dataValidation allowBlank="true" error="Selecione um valor da lista" errorStyle="stop" errorTitle="Valor inválido" operator="between" prompt="Escolha uma opção" promptTitle="Trust Excel" showDropDown="false" showErrorMessage="false" showInputMessage="false" sqref="B6:B156" type="list">
      <formula1>"Flávio,Ana,MKT,Jurídico,Comercial,Ops,Financeiro,CS,Dev"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6"/>
  </cols>
  <sheetData>
    <row r="1" customFormat="false" ht="15.75" hidden="false" customHeight="true" outlineLevel="0" collapsed="false">
      <c r="A1" s="1" t="s">
        <v>0</v>
      </c>
      <c r="B1" s="1"/>
      <c r="C1" s="1"/>
      <c r="D1" s="4"/>
      <c r="E1" s="4"/>
      <c r="F1" s="4"/>
      <c r="G1" s="4"/>
      <c r="H1" s="4"/>
    </row>
    <row r="2" customFormat="false" ht="30" hidden="false" customHeight="true" outlineLevel="0" collapsed="false">
      <c r="A2" s="2" t="s">
        <v>79</v>
      </c>
      <c r="B2" s="2"/>
      <c r="C2" s="2"/>
      <c r="D2" s="4"/>
      <c r="E2" s="4"/>
      <c r="F2" s="4"/>
      <c r="G2" s="4"/>
      <c r="H2" s="4"/>
    </row>
    <row r="3" customFormat="false" ht="18" hidden="false" customHeight="true" outlineLevel="0" collapsed="false">
      <c r="A3" s="3" t="s">
        <v>80</v>
      </c>
      <c r="B3" s="3"/>
      <c r="C3" s="3"/>
      <c r="D3" s="4"/>
      <c r="E3" s="4"/>
      <c r="F3" s="4"/>
      <c r="G3" s="4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5.5" hidden="false" customHeight="true" outlineLevel="0" collapsed="false">
      <c r="A5" s="14" t="s">
        <v>81</v>
      </c>
      <c r="B5" s="14" t="s">
        <v>82</v>
      </c>
      <c r="C5" s="14" t="s">
        <v>83</v>
      </c>
      <c r="D5" s="4"/>
      <c r="E5" s="4"/>
      <c r="F5" s="4"/>
      <c r="G5" s="4"/>
      <c r="H5" s="4"/>
    </row>
    <row r="6" customFormat="false" ht="15" hidden="false" customHeight="false" outlineLevel="0" collapsed="false">
      <c r="A6" s="29" t="s">
        <v>28</v>
      </c>
      <c r="B6" s="30" t="n">
        <v>20</v>
      </c>
      <c r="C6" s="31" t="n">
        <v>20</v>
      </c>
      <c r="D6" s="4"/>
      <c r="E6" s="4"/>
      <c r="F6" s="4"/>
      <c r="G6" s="4"/>
      <c r="H6" s="4"/>
    </row>
    <row r="7" customFormat="false" ht="15" hidden="false" customHeight="false" outlineLevel="0" collapsed="false">
      <c r="A7" s="29" t="s">
        <v>30</v>
      </c>
      <c r="B7" s="30" t="n">
        <v>17</v>
      </c>
      <c r="C7" s="31" t="n">
        <v>18</v>
      </c>
      <c r="D7" s="4"/>
      <c r="E7" s="4"/>
      <c r="F7" s="4"/>
      <c r="G7" s="4"/>
      <c r="H7" s="4"/>
    </row>
    <row r="8" customFormat="false" ht="15" hidden="false" customHeight="false" outlineLevel="0" collapsed="false">
      <c r="A8" s="29" t="s">
        <v>32</v>
      </c>
      <c r="B8" s="30" t="n">
        <v>14</v>
      </c>
      <c r="C8" s="31" t="n">
        <v>17</v>
      </c>
      <c r="D8" s="4"/>
      <c r="E8" s="4"/>
      <c r="F8" s="4"/>
      <c r="G8" s="4"/>
      <c r="H8" s="4"/>
    </row>
    <row r="9" customFormat="false" ht="15" hidden="false" customHeight="false" outlineLevel="0" collapsed="false">
      <c r="A9" s="29" t="s">
        <v>34</v>
      </c>
      <c r="B9" s="30" t="n">
        <v>11</v>
      </c>
      <c r="C9" s="31" t="n">
        <v>13</v>
      </c>
      <c r="D9" s="4"/>
      <c r="E9" s="4"/>
      <c r="F9" s="4"/>
      <c r="G9" s="4"/>
      <c r="H9" s="4"/>
    </row>
    <row r="10" customFormat="false" ht="15" hidden="false" customHeight="false" outlineLevel="0" collapsed="false">
      <c r="A10" s="29" t="s">
        <v>35</v>
      </c>
      <c r="B10" s="30" t="n">
        <v>8</v>
      </c>
      <c r="C10" s="31" t="n">
        <v>11</v>
      </c>
      <c r="D10" s="4"/>
      <c r="E10" s="4"/>
      <c r="F10" s="4"/>
      <c r="G10" s="4"/>
      <c r="H10" s="4"/>
    </row>
    <row r="11" customFormat="false" ht="15" hidden="false" customHeight="false" outlineLevel="0" collapsed="false">
      <c r="A11" s="29" t="s">
        <v>36</v>
      </c>
      <c r="B11" s="30" t="n">
        <v>5</v>
      </c>
      <c r="C11" s="31" t="n">
        <v>7</v>
      </c>
      <c r="D11" s="4"/>
      <c r="E11" s="4"/>
      <c r="F11" s="4"/>
      <c r="G11" s="4"/>
      <c r="H11" s="4"/>
    </row>
    <row r="12" customFormat="false" ht="15" hidden="false" customHeight="false" outlineLevel="0" collapsed="false">
      <c r="A12" s="29" t="s">
        <v>37</v>
      </c>
      <c r="B12" s="30" t="n">
        <v>2</v>
      </c>
      <c r="C12" s="31" t="n">
        <v>4</v>
      </c>
      <c r="D12" s="4"/>
      <c r="E12" s="4"/>
      <c r="F12" s="4"/>
      <c r="G12" s="4"/>
      <c r="H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</sheetData>
  <mergeCells count="3">
    <mergeCell ref="A1:C1"/>
    <mergeCell ref="A2:C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2026-07-22T19:18:37Z</dcterms:created>
  <dc:creator>openpyxl</dc:creator>
  <dc:description/>
  <dc:language>en-US</dc:language>
  <cp:lastModifiedBy/>
  <dcterms:modified xsi:type="dcterms:W3CDTF">2026-07-22T19:18:38Z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