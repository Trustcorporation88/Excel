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eifl\AppData\Local\Temp\opencode\excel-site\public\planilhas\"/>
    </mc:Choice>
  </mc:AlternateContent>
  <xr:revisionPtr revIDLastSave="0" documentId="13_ncr:1_{A492CE02-3887-4111-B99C-D0097BFBD85A}" xr6:coauthVersionLast="47" xr6:coauthVersionMax="47" xr10:uidLastSave="{00000000-0000-0000-0000-000000000000}"/>
  <bookViews>
    <workbookView xWindow="735" yWindow="735" windowWidth="16200" windowHeight="9308" xr2:uid="{00000000-000D-0000-FFFF-FFFF00000000}"/>
  </bookViews>
  <sheets>
    <sheet name="DASHBOARD" sheetId="1" r:id="rId1"/>
    <sheet name="TAREFAS" sheetId="2" r:id="rId2"/>
    <sheet name="BURNDOWN" sheetId="3" r:id="rId3"/>
  </sheets>
  <definedNames>
    <definedName name="_xlnm.Print_Area" localSheetId="0">DASHBOARD!$A$1:$L$32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6" i="2" l="1"/>
  <c r="I156" i="2" s="1"/>
  <c r="G156" i="2"/>
  <c r="H155" i="2"/>
  <c r="I155" i="2" s="1"/>
  <c r="G155" i="2"/>
  <c r="H154" i="2"/>
  <c r="I154" i="2" s="1"/>
  <c r="G154" i="2"/>
  <c r="H153" i="2"/>
  <c r="I153" i="2" s="1"/>
  <c r="G153" i="2"/>
  <c r="H152" i="2"/>
  <c r="I152" i="2" s="1"/>
  <c r="G152" i="2"/>
  <c r="H151" i="2"/>
  <c r="I151" i="2" s="1"/>
  <c r="G151" i="2"/>
  <c r="H150" i="2"/>
  <c r="I150" i="2" s="1"/>
  <c r="G150" i="2"/>
  <c r="H149" i="2"/>
  <c r="I149" i="2" s="1"/>
  <c r="G149" i="2"/>
  <c r="H148" i="2"/>
  <c r="I148" i="2" s="1"/>
  <c r="G148" i="2"/>
  <c r="H147" i="2"/>
  <c r="I147" i="2" s="1"/>
  <c r="G147" i="2"/>
  <c r="H146" i="2"/>
  <c r="I146" i="2" s="1"/>
  <c r="G146" i="2"/>
  <c r="H145" i="2"/>
  <c r="I145" i="2" s="1"/>
  <c r="G145" i="2"/>
  <c r="H144" i="2"/>
  <c r="I144" i="2" s="1"/>
  <c r="G144" i="2"/>
  <c r="H143" i="2"/>
  <c r="I143" i="2" s="1"/>
  <c r="G143" i="2"/>
  <c r="H142" i="2"/>
  <c r="I142" i="2" s="1"/>
  <c r="G142" i="2"/>
  <c r="H141" i="2"/>
  <c r="I141" i="2" s="1"/>
  <c r="G141" i="2"/>
  <c r="H140" i="2"/>
  <c r="I140" i="2" s="1"/>
  <c r="G140" i="2"/>
  <c r="H139" i="2"/>
  <c r="I139" i="2" s="1"/>
  <c r="G139" i="2"/>
  <c r="H138" i="2"/>
  <c r="I138" i="2" s="1"/>
  <c r="G138" i="2"/>
  <c r="H137" i="2"/>
  <c r="I137" i="2" s="1"/>
  <c r="G137" i="2"/>
  <c r="H136" i="2"/>
  <c r="I136" i="2" s="1"/>
  <c r="G136" i="2"/>
  <c r="H135" i="2"/>
  <c r="I135" i="2" s="1"/>
  <c r="G135" i="2"/>
  <c r="H134" i="2"/>
  <c r="I134" i="2" s="1"/>
  <c r="G134" i="2"/>
  <c r="H133" i="2"/>
  <c r="I133" i="2" s="1"/>
  <c r="G133" i="2"/>
  <c r="H132" i="2"/>
  <c r="I132" i="2" s="1"/>
  <c r="G132" i="2"/>
  <c r="H131" i="2"/>
  <c r="I131" i="2" s="1"/>
  <c r="G131" i="2"/>
  <c r="H130" i="2"/>
  <c r="I130" i="2" s="1"/>
  <c r="G130" i="2"/>
  <c r="H129" i="2"/>
  <c r="I129" i="2" s="1"/>
  <c r="G129" i="2"/>
  <c r="H128" i="2"/>
  <c r="I128" i="2" s="1"/>
  <c r="G128" i="2"/>
  <c r="H127" i="2"/>
  <c r="I127" i="2" s="1"/>
  <c r="G127" i="2"/>
  <c r="H126" i="2"/>
  <c r="I126" i="2" s="1"/>
  <c r="G126" i="2"/>
  <c r="H125" i="2"/>
  <c r="I125" i="2" s="1"/>
  <c r="G125" i="2"/>
  <c r="H124" i="2"/>
  <c r="I124" i="2" s="1"/>
  <c r="G124" i="2"/>
  <c r="H123" i="2"/>
  <c r="I123" i="2" s="1"/>
  <c r="G123" i="2"/>
  <c r="H122" i="2"/>
  <c r="I122" i="2" s="1"/>
  <c r="G122" i="2"/>
  <c r="H121" i="2"/>
  <c r="I121" i="2" s="1"/>
  <c r="G121" i="2"/>
  <c r="H120" i="2"/>
  <c r="I120" i="2" s="1"/>
  <c r="G120" i="2"/>
  <c r="H119" i="2"/>
  <c r="I119" i="2" s="1"/>
  <c r="G119" i="2"/>
  <c r="H118" i="2"/>
  <c r="I118" i="2" s="1"/>
  <c r="G118" i="2"/>
  <c r="H117" i="2"/>
  <c r="I117" i="2" s="1"/>
  <c r="G117" i="2"/>
  <c r="H116" i="2"/>
  <c r="I116" i="2" s="1"/>
  <c r="G116" i="2"/>
  <c r="H115" i="2"/>
  <c r="I115" i="2" s="1"/>
  <c r="G115" i="2"/>
  <c r="H114" i="2"/>
  <c r="I114" i="2" s="1"/>
  <c r="G114" i="2"/>
  <c r="H113" i="2"/>
  <c r="I113" i="2" s="1"/>
  <c r="G113" i="2"/>
  <c r="H112" i="2"/>
  <c r="I112" i="2" s="1"/>
  <c r="G112" i="2"/>
  <c r="H111" i="2"/>
  <c r="I111" i="2" s="1"/>
  <c r="G111" i="2"/>
  <c r="H110" i="2"/>
  <c r="I110" i="2" s="1"/>
  <c r="G110" i="2"/>
  <c r="H109" i="2"/>
  <c r="I109" i="2" s="1"/>
  <c r="G109" i="2"/>
  <c r="H108" i="2"/>
  <c r="I108" i="2" s="1"/>
  <c r="G108" i="2"/>
  <c r="H107" i="2"/>
  <c r="I107" i="2" s="1"/>
  <c r="G107" i="2"/>
  <c r="H106" i="2"/>
  <c r="I106" i="2" s="1"/>
  <c r="G106" i="2"/>
  <c r="H105" i="2"/>
  <c r="I105" i="2" s="1"/>
  <c r="G105" i="2"/>
  <c r="H104" i="2"/>
  <c r="I104" i="2" s="1"/>
  <c r="G104" i="2"/>
  <c r="H103" i="2"/>
  <c r="I103" i="2" s="1"/>
  <c r="G103" i="2"/>
  <c r="H102" i="2"/>
  <c r="I102" i="2" s="1"/>
  <c r="G102" i="2"/>
  <c r="H101" i="2"/>
  <c r="I101" i="2" s="1"/>
  <c r="G101" i="2"/>
  <c r="H100" i="2"/>
  <c r="I100" i="2" s="1"/>
  <c r="G100" i="2"/>
  <c r="H99" i="2"/>
  <c r="I99" i="2" s="1"/>
  <c r="G99" i="2"/>
  <c r="H98" i="2"/>
  <c r="I98" i="2" s="1"/>
  <c r="G98" i="2"/>
  <c r="H97" i="2"/>
  <c r="I97" i="2" s="1"/>
  <c r="G97" i="2"/>
  <c r="H96" i="2"/>
  <c r="I96" i="2" s="1"/>
  <c r="G96" i="2"/>
  <c r="H95" i="2"/>
  <c r="I95" i="2" s="1"/>
  <c r="G95" i="2"/>
  <c r="H94" i="2"/>
  <c r="I94" i="2" s="1"/>
  <c r="G94" i="2"/>
  <c r="H93" i="2"/>
  <c r="I93" i="2" s="1"/>
  <c r="G93" i="2"/>
  <c r="H92" i="2"/>
  <c r="I92" i="2" s="1"/>
  <c r="G92" i="2"/>
  <c r="H91" i="2"/>
  <c r="I91" i="2" s="1"/>
  <c r="G91" i="2"/>
  <c r="H90" i="2"/>
  <c r="I90" i="2" s="1"/>
  <c r="G90" i="2"/>
  <c r="H89" i="2"/>
  <c r="I89" i="2" s="1"/>
  <c r="G89" i="2"/>
  <c r="H88" i="2"/>
  <c r="I88" i="2" s="1"/>
  <c r="G88" i="2"/>
  <c r="H87" i="2"/>
  <c r="I87" i="2" s="1"/>
  <c r="G87" i="2"/>
  <c r="H86" i="2"/>
  <c r="I86" i="2" s="1"/>
  <c r="G86" i="2"/>
  <c r="H85" i="2"/>
  <c r="I85" i="2" s="1"/>
  <c r="G85" i="2"/>
  <c r="H84" i="2"/>
  <c r="I84" i="2" s="1"/>
  <c r="G84" i="2"/>
  <c r="I83" i="2"/>
  <c r="H83" i="2"/>
  <c r="G83" i="2"/>
  <c r="H82" i="2"/>
  <c r="I82" i="2" s="1"/>
  <c r="G82" i="2"/>
  <c r="H81" i="2"/>
  <c r="I81" i="2" s="1"/>
  <c r="G81" i="2"/>
  <c r="H80" i="2"/>
  <c r="I80" i="2" s="1"/>
  <c r="G80" i="2"/>
  <c r="H79" i="2"/>
  <c r="I79" i="2" s="1"/>
  <c r="G79" i="2"/>
  <c r="H78" i="2"/>
  <c r="I78" i="2" s="1"/>
  <c r="G78" i="2"/>
  <c r="H77" i="2"/>
  <c r="I77" i="2" s="1"/>
  <c r="G77" i="2"/>
  <c r="H76" i="2"/>
  <c r="I76" i="2" s="1"/>
  <c r="G76" i="2"/>
  <c r="H75" i="2"/>
  <c r="I75" i="2" s="1"/>
  <c r="G75" i="2"/>
  <c r="H74" i="2"/>
  <c r="I74" i="2" s="1"/>
  <c r="G74" i="2"/>
  <c r="H73" i="2"/>
  <c r="I73" i="2" s="1"/>
  <c r="G73" i="2"/>
  <c r="H72" i="2"/>
  <c r="I72" i="2" s="1"/>
  <c r="G72" i="2"/>
  <c r="H71" i="2"/>
  <c r="I71" i="2" s="1"/>
  <c r="G71" i="2"/>
  <c r="H70" i="2"/>
  <c r="I70" i="2" s="1"/>
  <c r="G70" i="2"/>
  <c r="H69" i="2"/>
  <c r="I69" i="2" s="1"/>
  <c r="G69" i="2"/>
  <c r="H68" i="2"/>
  <c r="I68" i="2" s="1"/>
  <c r="G68" i="2"/>
  <c r="H67" i="2"/>
  <c r="I67" i="2" s="1"/>
  <c r="G67" i="2"/>
  <c r="H66" i="2"/>
  <c r="I66" i="2" s="1"/>
  <c r="G66" i="2"/>
  <c r="H65" i="2"/>
  <c r="I65" i="2" s="1"/>
  <c r="G65" i="2"/>
  <c r="H64" i="2"/>
  <c r="I64" i="2" s="1"/>
  <c r="G64" i="2"/>
  <c r="H63" i="2"/>
  <c r="I63" i="2" s="1"/>
  <c r="G63" i="2"/>
  <c r="H62" i="2"/>
  <c r="I62" i="2" s="1"/>
  <c r="G62" i="2"/>
  <c r="H61" i="2"/>
  <c r="I61" i="2" s="1"/>
  <c r="G61" i="2"/>
  <c r="H60" i="2"/>
  <c r="I60" i="2" s="1"/>
  <c r="G60" i="2"/>
  <c r="H59" i="2"/>
  <c r="I59" i="2" s="1"/>
  <c r="G59" i="2"/>
  <c r="H58" i="2"/>
  <c r="I58" i="2" s="1"/>
  <c r="G58" i="2"/>
  <c r="H57" i="2"/>
  <c r="I57" i="2" s="1"/>
  <c r="G57" i="2"/>
  <c r="H56" i="2"/>
  <c r="I56" i="2" s="1"/>
  <c r="G56" i="2"/>
  <c r="H55" i="2"/>
  <c r="I55" i="2" s="1"/>
  <c r="G55" i="2"/>
  <c r="H54" i="2"/>
  <c r="I54" i="2" s="1"/>
  <c r="G54" i="2"/>
  <c r="H53" i="2"/>
  <c r="I53" i="2" s="1"/>
  <c r="G53" i="2"/>
  <c r="H52" i="2"/>
  <c r="I52" i="2" s="1"/>
  <c r="G52" i="2"/>
  <c r="H51" i="2"/>
  <c r="I51" i="2" s="1"/>
  <c r="G51" i="2"/>
  <c r="H50" i="2"/>
  <c r="I50" i="2" s="1"/>
  <c r="G50" i="2"/>
  <c r="H49" i="2"/>
  <c r="I49" i="2" s="1"/>
  <c r="G49" i="2"/>
  <c r="H48" i="2"/>
  <c r="I48" i="2" s="1"/>
  <c r="G48" i="2"/>
  <c r="H47" i="2"/>
  <c r="I47" i="2" s="1"/>
  <c r="G47" i="2"/>
  <c r="H46" i="2"/>
  <c r="I46" i="2" s="1"/>
  <c r="G46" i="2"/>
  <c r="H45" i="2"/>
  <c r="I45" i="2" s="1"/>
  <c r="G45" i="2"/>
  <c r="H44" i="2"/>
  <c r="I44" i="2" s="1"/>
  <c r="G44" i="2"/>
  <c r="H43" i="2"/>
  <c r="I43" i="2" s="1"/>
  <c r="G43" i="2"/>
  <c r="H42" i="2"/>
  <c r="I42" i="2" s="1"/>
  <c r="G42" i="2"/>
  <c r="H41" i="2"/>
  <c r="I41" i="2" s="1"/>
  <c r="G41" i="2"/>
  <c r="H40" i="2"/>
  <c r="I40" i="2" s="1"/>
  <c r="G40" i="2"/>
  <c r="H39" i="2"/>
  <c r="I39" i="2" s="1"/>
  <c r="G39" i="2"/>
  <c r="H38" i="2"/>
  <c r="I38" i="2" s="1"/>
  <c r="G38" i="2"/>
  <c r="H37" i="2"/>
  <c r="I37" i="2" s="1"/>
  <c r="G37" i="2"/>
  <c r="H36" i="2"/>
  <c r="I36" i="2" s="1"/>
  <c r="G36" i="2"/>
  <c r="H35" i="2"/>
  <c r="I35" i="2" s="1"/>
  <c r="G35" i="2"/>
  <c r="H34" i="2"/>
  <c r="I34" i="2" s="1"/>
  <c r="G34" i="2"/>
  <c r="H33" i="2"/>
  <c r="I33" i="2" s="1"/>
  <c r="G33" i="2"/>
  <c r="H32" i="2"/>
  <c r="I32" i="2" s="1"/>
  <c r="G32" i="2"/>
  <c r="H31" i="2"/>
  <c r="I31" i="2" s="1"/>
  <c r="G31" i="2"/>
  <c r="H30" i="2"/>
  <c r="I30" i="2" s="1"/>
  <c r="G30" i="2"/>
  <c r="H29" i="2"/>
  <c r="I29" i="2" s="1"/>
  <c r="G29" i="2"/>
  <c r="H28" i="2"/>
  <c r="I28" i="2" s="1"/>
  <c r="G28" i="2"/>
  <c r="H27" i="2"/>
  <c r="I27" i="2" s="1"/>
  <c r="G27" i="2"/>
  <c r="H26" i="2"/>
  <c r="I26" i="2" s="1"/>
  <c r="G26" i="2"/>
  <c r="H25" i="2"/>
  <c r="I25" i="2" s="1"/>
  <c r="G25" i="2"/>
  <c r="H24" i="2"/>
  <c r="I24" i="2" s="1"/>
  <c r="G24" i="2"/>
  <c r="H23" i="2"/>
  <c r="I23" i="2" s="1"/>
  <c r="G23" i="2"/>
  <c r="H22" i="2"/>
  <c r="I22" i="2" s="1"/>
  <c r="G22" i="2"/>
  <c r="H21" i="2"/>
  <c r="I21" i="2" s="1"/>
  <c r="G21" i="2"/>
  <c r="H20" i="2"/>
  <c r="I20" i="2" s="1"/>
  <c r="G20" i="2"/>
  <c r="H19" i="2"/>
  <c r="I19" i="2" s="1"/>
  <c r="G19" i="2"/>
  <c r="H18" i="2"/>
  <c r="I18" i="2" s="1"/>
  <c r="G18" i="2"/>
  <c r="H17" i="2"/>
  <c r="I17" i="2" s="1"/>
  <c r="G17" i="2"/>
  <c r="H16" i="2"/>
  <c r="I16" i="2" s="1"/>
  <c r="G16" i="2"/>
  <c r="H15" i="2"/>
  <c r="I15" i="2" s="1"/>
  <c r="G15" i="2"/>
  <c r="H14" i="2"/>
  <c r="I14" i="2" s="1"/>
  <c r="G14" i="2"/>
  <c r="H13" i="2"/>
  <c r="I13" i="2" s="1"/>
  <c r="G13" i="2"/>
  <c r="H12" i="2"/>
  <c r="I12" i="2" s="1"/>
  <c r="G12" i="2"/>
  <c r="H11" i="2"/>
  <c r="I11" i="2" s="1"/>
  <c r="G11" i="2"/>
  <c r="H10" i="2"/>
  <c r="I10" i="2" s="1"/>
  <c r="G10" i="2"/>
  <c r="H9" i="2"/>
  <c r="I9" i="2" s="1"/>
  <c r="G9" i="2"/>
  <c r="I8" i="2"/>
  <c r="H8" i="2"/>
  <c r="G8" i="2"/>
  <c r="H7" i="2"/>
  <c r="I7" i="2" s="1"/>
  <c r="G7" i="2"/>
  <c r="H6" i="2"/>
  <c r="I6" i="2" s="1"/>
  <c r="G6" i="2"/>
  <c r="Z42" i="1"/>
  <c r="F6" i="1" s="1"/>
  <c r="Z41" i="1"/>
  <c r="C27" i="1" s="1"/>
  <c r="Z40" i="1"/>
  <c r="G13" i="1" s="1"/>
  <c r="I33" i="1"/>
  <c r="I32" i="1"/>
  <c r="I31" i="1"/>
  <c r="I30" i="1"/>
  <c r="I29" i="1"/>
  <c r="I28" i="1"/>
  <c r="I27" i="1"/>
  <c r="J27" i="1" s="1"/>
  <c r="G15" i="1"/>
  <c r="E15" i="1"/>
  <c r="D15" i="1"/>
  <c r="S14" i="1"/>
  <c r="S13" i="1"/>
  <c r="S12" i="1"/>
  <c r="J31" i="1" l="1"/>
  <c r="Z43" i="1"/>
  <c r="J28" i="1"/>
  <c r="J29" i="1"/>
  <c r="J30" i="1"/>
  <c r="J32" i="1"/>
  <c r="J33" i="1"/>
  <c r="H6" i="1"/>
  <c r="C28" i="1"/>
  <c r="E13" i="1"/>
  <c r="D13" i="1"/>
  <c r="F13" i="1"/>
  <c r="Z45" i="1"/>
  <c r="B9" i="1" s="1"/>
  <c r="B6" i="1"/>
  <c r="D6" i="1"/>
  <c r="G16" i="1"/>
  <c r="G14" i="1"/>
  <c r="E14" i="1" l="1"/>
  <c r="D14" i="1"/>
  <c r="C14" i="1"/>
  <c r="F16" i="1"/>
  <c r="E16" i="1"/>
  <c r="D16" i="1"/>
  <c r="C29" i="1"/>
  <c r="J6" i="1"/>
  <c r="F14" i="1"/>
  <c r="F15" i="1" l="1"/>
  <c r="C15" i="1"/>
</calcChain>
</file>

<file path=xl/sharedStrings.xml><?xml version="1.0" encoding="utf-8"?>
<sst xmlns="http://schemas.openxmlformats.org/spreadsheetml/2006/main" count="81" uniqueCount="66">
  <si>
    <t>TRUST EXCEL  ·  TRUST CORPORATION</t>
  </si>
  <si>
    <t>Cockpit de Produtividade</t>
  </si>
  <si>
    <t>Throughput · WIP · alertas de bloqueio</t>
  </si>
  <si>
    <t>BACKLOG</t>
  </si>
  <si>
    <t>WIP (FAZENDO)</t>
  </si>
  <si>
    <t>FEITAS</t>
  </si>
  <si>
    <t>CYCLE TIME</t>
  </si>
  <si>
    <t>EM ALERTA</t>
  </si>
  <si>
    <t>CASCATA DE CARGA</t>
  </si>
  <si>
    <t>STATUS</t>
  </si>
  <si>
    <t>Etapa</t>
  </si>
  <si>
    <t>Base</t>
  </si>
  <si>
    <t>Alta</t>
  </si>
  <si>
    <t>Baixa</t>
  </si>
  <si>
    <t>Total</t>
  </si>
  <si>
    <t>Δ</t>
  </si>
  <si>
    <t>A fazer</t>
  </si>
  <si>
    <t>Fazendo</t>
  </si>
  <si>
    <t>+ WIP</t>
  </si>
  <si>
    <t>Feito</t>
  </si>
  <si>
    <t>− Feitas</t>
  </si>
  <si>
    <t>Carga</t>
  </si>
  <si>
    <t>MINI-SPARKLINES</t>
  </si>
  <si>
    <t>SPARK BURNDOWN</t>
  </si>
  <si>
    <t>Indicador</t>
  </si>
  <si>
    <t>Atual</t>
  </si>
  <si>
    <t>S1</t>
  </si>
  <si>
    <t>S2</t>
  </si>
  <si>
    <t>S3</t>
  </si>
  <si>
    <t>S4</t>
  </si>
  <si>
    <t>Ponto</t>
  </si>
  <si>
    <t>Valor</t>
  </si>
  <si>
    <t>Spark</t>
  </si>
  <si>
    <t>WIP</t>
  </si>
  <si>
    <t>D1</t>
  </si>
  <si>
    <t>Cycle time</t>
  </si>
  <si>
    <t>D2</t>
  </si>
  <si>
    <t>Alertas</t>
  </si>
  <si>
    <t>D3</t>
  </si>
  <si>
    <t>D4</t>
  </si>
  <si>
    <t>D5</t>
  </si>
  <si>
    <t>D6</t>
  </si>
  <si>
    <t>D7</t>
  </si>
  <si>
    <t>Tarefas</t>
  </si>
  <si>
    <t>Fluxo, cycle time e alertas</t>
  </si>
  <si>
    <t>Tarefa</t>
  </si>
  <si>
    <t>Responsável</t>
  </si>
  <si>
    <t>Prioridade</t>
  </si>
  <si>
    <t>Status</t>
  </si>
  <si>
    <t>Início</t>
  </si>
  <si>
    <t>Entrega</t>
  </si>
  <si>
    <t>Cycle (d)</t>
  </si>
  <si>
    <t>Idade (d)</t>
  </si>
  <si>
    <t>Alerta</t>
  </si>
  <si>
    <t>Proposta</t>
  </si>
  <si>
    <t>Flávio</t>
  </si>
  <si>
    <t>Relatório</t>
  </si>
  <si>
    <t>Ana</t>
  </si>
  <si>
    <t>Média</t>
  </si>
  <si>
    <t>Bugfix</t>
  </si>
  <si>
    <t>Dev</t>
  </si>
  <si>
    <t>Burndown</t>
  </si>
  <si>
    <t>Ideal x real</t>
  </si>
  <si>
    <t>Dia</t>
  </si>
  <si>
    <t>Ideal</t>
  </si>
  <si>
    <t>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</si>
</sst>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5" formatCode="dd/mm"/>
    <numFmt numFmtId="166" formatCode="0.0"/>
    <numFmt numFmtId="167" formatCode="#,##0;\(#,##0\);&quot;—&quot;"/>
    <numFmt numFmtId="168" formatCode="#,##0.0;\(#,##0.0\);&quot;—&quot;"/>
  </numFmts>
  <fonts count="21" x14ac:knownFonts="1">
    <font>
      <sz val="11"/>
      <color theme="1"/>
      <name val="Calibri"/>
      <family val="2"/>
      <scheme val="minor"/>
    </font>
    <font>
      <b/>
      <sz val="8"/>
      <color rgb="FFC99C66"/>
      <name val="Calibri"/>
    </font>
    <font>
      <b/>
      <sz val="22"/>
      <color rgb="FFF3ECDD"/>
      <name val="Calibri"/>
    </font>
    <font>
      <i/>
      <sz val="9"/>
      <color rgb="FF8A9691"/>
      <name val="Calibri"/>
    </font>
    <font>
      <b/>
      <sz val="8"/>
      <color rgb="FFF3ECDD"/>
      <name val="Calibri"/>
    </font>
    <font>
      <sz val="9"/>
      <color rgb="FFF3ECDD"/>
      <name val="Calibri"/>
    </font>
    <font>
      <b/>
      <sz val="7"/>
      <color rgb="FF8A9691"/>
      <name val="Calibri"/>
    </font>
    <font>
      <b/>
      <sz val="18"/>
      <color rgb="FF8A9691"/>
      <name val="Calibri"/>
    </font>
    <font>
      <i/>
      <sz val="7"/>
      <color rgb="FF8A9691"/>
      <name val="Calibri"/>
    </font>
    <font>
      <b/>
      <sz val="18"/>
      <color rgb="FFC99C66"/>
      <name val="Calibri"/>
    </font>
    <font>
      <b/>
      <sz val="18"/>
      <color rgb="FF43D07F"/>
      <name val="Calibri"/>
    </font>
    <font>
      <b/>
      <sz val="18"/>
      <color rgb="FFE0A94B"/>
      <name val="Calibri"/>
    </font>
    <font>
      <b/>
      <sz val="18"/>
      <color rgb="FFD9534F"/>
      <name val="Calibri"/>
    </font>
    <font>
      <b/>
      <sz val="10"/>
      <color rgb="FFF3ECDD"/>
      <name val="Calibri"/>
    </font>
    <font>
      <b/>
      <sz val="9"/>
      <color rgb="FFC99C66"/>
      <name val="Calibri"/>
    </font>
    <font>
      <sz val="8"/>
      <color rgb="FFF3ECDD"/>
      <name val="Calibri"/>
    </font>
    <font>
      <sz val="8"/>
      <color rgb="FF8A9691"/>
      <name val="Calibri"/>
    </font>
    <font>
      <sz val="8"/>
      <color rgb="FF0B1210"/>
      <name val="Calibri"/>
    </font>
    <font>
      <sz val="7"/>
      <color rgb="FF8A9691"/>
      <name val="Calibri"/>
    </font>
    <font>
      <sz val="8"/>
      <color rgb="FFC99C66"/>
      <name val="Calibri"/>
    </font>
    <font>
      <sz val="7"/>
      <color rgb="FF43D07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1210"/>
      </patternFill>
    </fill>
    <fill>
      <patternFill patternType="solid">
        <fgColor rgb="FF121C18"/>
      </patternFill>
    </fill>
    <fill>
      <patternFill patternType="solid">
        <fgColor rgb="FF182620"/>
      </patternFill>
    </fill>
    <fill>
      <patternFill patternType="solid">
        <fgColor rgb="FF1E3028"/>
      </patternFill>
    </fill>
  </fills>
  <borders count="3">
    <border>
      <left/>
      <right/>
      <top/>
      <bottom/>
      <diagonal/>
    </border>
    <border>
      <left style="thin">
        <color rgb="FF2A3D34"/>
      </left>
      <right style="thin">
        <color rgb="FF2A3D34"/>
      </right>
      <top style="thin">
        <color rgb="FF2A3D34"/>
      </top>
      <bottom style="thin">
        <color rgb="FF2A3D34"/>
      </bottom>
      <diagonal/>
    </border>
    <border>
      <left style="thin">
        <color rgb="FF2A3D34"/>
      </left>
      <right style="thin">
        <color rgb="FF2A3D34"/>
      </right>
      <top style="thin">
        <color rgb="FFC99C66"/>
      </top>
      <bottom style="thin">
        <color rgb="FF2A3D3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2" borderId="0" xfId="0" applyFill="1"/>
    <xf numFmtId="0" fontId="14" fillId="2" borderId="0" xfId="0" applyFont="1" applyFill="1" applyAlignment="1">
      <alignment horizontal="left" vertical="center"/>
    </xf>
    <xf numFmtId="0" fontId="4" fillId="3" borderId="1" xfId="0" applyFont="1" applyFill="1" applyBorder="1" applyAlignment="1">
      <alignment horizontal="center" vertical="center" wrapText="1"/>
    </xf>
    <xf numFmtId="0" fontId="17" fillId="0" borderId="0" xfId="0" applyFont="1"/>
    <xf numFmtId="0" fontId="15" fillId="2" borderId="1" xfId="0" applyFont="1" applyFill="1" applyBorder="1"/>
    <xf numFmtId="167" fontId="16" fillId="2" borderId="1" xfId="0" applyNumberFormat="1" applyFont="1" applyFill="1" applyBorder="1"/>
    <xf numFmtId="167" fontId="1" fillId="2" borderId="1" xfId="0" applyNumberFormat="1" applyFont="1" applyFill="1" applyBorder="1"/>
    <xf numFmtId="168" fontId="14" fillId="2" borderId="1" xfId="0" applyNumberFormat="1" applyFont="1" applyFill="1" applyBorder="1"/>
    <xf numFmtId="1" fontId="18" fillId="2" borderId="1" xfId="0" applyNumberFormat="1" applyFont="1" applyFill="1" applyBorder="1"/>
    <xf numFmtId="168" fontId="19" fillId="2" borderId="1" xfId="0" applyNumberFormat="1" applyFont="1" applyFill="1" applyBorder="1"/>
    <xf numFmtId="0" fontId="20" fillId="2" borderId="1" xfId="0" applyFont="1" applyFill="1" applyBorder="1" applyAlignment="1">
      <alignment horizontal="center" vertical="center"/>
    </xf>
    <xf numFmtId="0" fontId="18" fillId="2" borderId="1" xfId="0" applyFont="1" applyFill="1" applyBorder="1"/>
    <xf numFmtId="0" fontId="20" fillId="2" borderId="1" xfId="0" applyFont="1" applyFill="1" applyBorder="1"/>
    <xf numFmtId="0" fontId="5" fillId="2" borderId="1" xfId="0" applyFont="1" applyFill="1" applyBorder="1"/>
    <xf numFmtId="165" fontId="5" fillId="2" borderId="1" xfId="0" applyNumberFormat="1" applyFont="1" applyFill="1" applyBorder="1"/>
    <xf numFmtId="0" fontId="5" fillId="2" borderId="0" xfId="0" applyFont="1" applyFill="1"/>
    <xf numFmtId="0" fontId="8" fillId="4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6" fillId="4" borderId="2" xfId="0" applyFont="1" applyFill="1" applyBorder="1" applyAlignment="1">
      <alignment horizontal="center" vertical="center"/>
    </xf>
    <xf numFmtId="0" fontId="0" fillId="4" borderId="2" xfId="0" applyFill="1" applyBorder="1"/>
    <xf numFmtId="0" fontId="13" fillId="4" borderId="1" xfId="0" applyFont="1" applyFill="1" applyBorder="1" applyAlignment="1">
      <alignment horizontal="left" vertical="center" indent="1"/>
    </xf>
    <xf numFmtId="1" fontId="10" fillId="5" borderId="1" xfId="0" applyNumberFormat="1" applyFont="1" applyFill="1" applyBorder="1" applyAlignment="1">
      <alignment horizontal="center" vertical="center"/>
    </xf>
    <xf numFmtId="0" fontId="0" fillId="5" borderId="1" xfId="0" applyFill="1" applyBorder="1"/>
    <xf numFmtId="0" fontId="3" fillId="2" borderId="0" xfId="0" applyFont="1" applyFill="1" applyAlignment="1">
      <alignment horizontal="left" vertical="center" indent="1"/>
    </xf>
    <xf numFmtId="0" fontId="0" fillId="2" borderId="0" xfId="0" applyFill="1"/>
    <xf numFmtId="1" fontId="9" fillId="5" borderId="1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center" indent="1"/>
    </xf>
    <xf numFmtId="166" fontId="11" fillId="5" borderId="1" xfId="0" applyNumberFormat="1" applyFont="1" applyFill="1" applyBorder="1" applyAlignment="1">
      <alignment horizontal="center" vertical="center"/>
    </xf>
    <xf numFmtId="1" fontId="12" fillId="5" borderId="1" xfId="0" applyNumberFormat="1" applyFont="1" applyFill="1" applyBorder="1" applyAlignment="1">
      <alignment horizontal="center" vertical="center"/>
    </xf>
    <xf numFmtId="1" fontId="7" fillId="5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 indent="1"/>
    </xf>
  </cellXfs>
  <cellStyles count="1">
    <cellStyle name="Normal" xfId="0" builtinId="0"/>
  </cellStyles>
  <dxfs count="2">
    <dxf>
      <font>
        <b/>
        <sz val="8"/>
        <color rgb="FFD9534F"/>
        <name val="Calibri"/>
      </font>
    </dxf>
    <dxf>
      <font>
        <b/>
        <sz val="8"/>
        <color rgb="FF43D07F"/>
        <name val="Calibri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pt-BR"/>
              <a:t>Cascata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DASHBOARD!$C$12</c:f>
              <c:strCache>
                <c:ptCount val="1"/>
                <c:pt idx="0">
                  <c:v>Base</c:v>
                </c:pt>
              </c:strCache>
            </c:strRef>
          </c:tx>
          <c:spPr>
            <a:noFill/>
            <a:ln>
              <a:noFill/>
              <a:prstDash val="solid"/>
            </a:ln>
          </c:spPr>
          <c:invertIfNegative val="1"/>
          <c:cat>
            <c:strRef>
              <c:f>DASHBOARD!$B$13:$B$16</c:f>
              <c:strCache>
                <c:ptCount val="4"/>
                <c:pt idx="0">
                  <c:v>A fazer</c:v>
                </c:pt>
                <c:pt idx="1">
                  <c:v>+ WIP</c:v>
                </c:pt>
                <c:pt idx="2">
                  <c:v>− Feitas</c:v>
                </c:pt>
                <c:pt idx="3">
                  <c:v>Carga</c:v>
                </c:pt>
              </c:strCache>
            </c:strRef>
          </c:cat>
          <c:val>
            <c:numRef>
              <c:f>DASHBOARD!$C$13:$C$16</c:f>
              <c:numCache>
                <c:formatCode>#,##0;\(#,##0\);"—"</c:formatCode>
                <c:ptCount val="4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68-468A-9CC0-BE346C568AF0}"/>
            </c:ext>
          </c:extLst>
        </c:ser>
        <c:ser>
          <c:idx val="1"/>
          <c:order val="1"/>
          <c:tx>
            <c:strRef>
              <c:f>DASHBOARD!$D$12</c:f>
              <c:strCache>
                <c:ptCount val="1"/>
                <c:pt idx="0">
                  <c:v>Alta</c:v>
                </c:pt>
              </c:strCache>
            </c:strRef>
          </c:tx>
          <c:spPr>
            <a:solidFill>
              <a:srgbClr val="2E9E5B"/>
            </a:solidFill>
            <a:ln>
              <a:prstDash val="solid"/>
            </a:ln>
          </c:spPr>
          <c:invertIfNegative val="1"/>
          <c:cat>
            <c:strRef>
              <c:f>DASHBOARD!$B$13:$B$16</c:f>
              <c:strCache>
                <c:ptCount val="4"/>
                <c:pt idx="0">
                  <c:v>A fazer</c:v>
                </c:pt>
                <c:pt idx="1">
                  <c:v>+ WIP</c:v>
                </c:pt>
                <c:pt idx="2">
                  <c:v>− Feitas</c:v>
                </c:pt>
                <c:pt idx="3">
                  <c:v>Carga</c:v>
                </c:pt>
              </c:strCache>
            </c:strRef>
          </c:cat>
          <c:val>
            <c:numRef>
              <c:f>DASHBOARD!$D$13:$D$16</c:f>
              <c:numCache>
                <c:formatCode>#,##0;\(#,##0\);"—"</c:formatCode>
                <c:ptCount val="4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1568-468A-9CC0-BE346C568AF0}"/>
            </c:ext>
          </c:extLst>
        </c:ser>
        <c:ser>
          <c:idx val="2"/>
          <c:order val="2"/>
          <c:tx>
            <c:strRef>
              <c:f>DASHBOARD!$E$12</c:f>
              <c:strCache>
                <c:ptCount val="1"/>
                <c:pt idx="0">
                  <c:v>Baixa</c:v>
                </c:pt>
              </c:strCache>
            </c:strRef>
          </c:tx>
          <c:spPr>
            <a:solidFill>
              <a:srgbClr val="D9534F"/>
            </a:solidFill>
            <a:ln>
              <a:prstDash val="solid"/>
            </a:ln>
          </c:spPr>
          <c:invertIfNegative val="1"/>
          <c:cat>
            <c:strRef>
              <c:f>DASHBOARD!$B$13:$B$16</c:f>
              <c:strCache>
                <c:ptCount val="4"/>
                <c:pt idx="0">
                  <c:v>A fazer</c:v>
                </c:pt>
                <c:pt idx="1">
                  <c:v>+ WIP</c:v>
                </c:pt>
                <c:pt idx="2">
                  <c:v>− Feitas</c:v>
                </c:pt>
                <c:pt idx="3">
                  <c:v>Carga</c:v>
                </c:pt>
              </c:strCache>
            </c:strRef>
          </c:cat>
          <c:val>
            <c:numRef>
              <c:f>DASHBOARD!$E$13:$E$16</c:f>
              <c:numCache>
                <c:formatCode>#,##0;\(#,##0\);"—"</c:formatCode>
                <c:ptCount val="4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1568-468A-9CC0-BE346C568A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#,##0;\(#,##0\);&quot;—&quot;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solidFill>
          <a:srgbClr val="0E1713"/>
        </a:solidFill>
        <a:ln>
          <a:prstDash val="solid"/>
        </a:ln>
      </c:spPr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/>
      <c:pieChart>
        <c:varyColors val="1"/>
        <c:ser>
          <c:idx val="0"/>
          <c:order val="0"/>
          <c:tx>
            <c:strRef>
              <c:f>DASHBOARD!$S$12</c:f>
              <c:strCache>
                <c:ptCount val="1"/>
                <c:pt idx="0">
                  <c:v>1</c:v>
                </c:pt>
              </c:strCache>
            </c:strRef>
          </c:tx>
          <c:spPr>
            <a:ln>
              <a:prstDash val="solid"/>
            </a:ln>
          </c:spPr>
          <c:cat>
            <c:strRef>
              <c:f>DASHBOARD!$R$12:$R$14</c:f>
              <c:strCache>
                <c:ptCount val="3"/>
                <c:pt idx="0">
                  <c:v>A fazer</c:v>
                </c:pt>
                <c:pt idx="1">
                  <c:v>Fazendo</c:v>
                </c:pt>
                <c:pt idx="2">
                  <c:v>Feito</c:v>
                </c:pt>
              </c:strCache>
            </c:strRef>
          </c:cat>
          <c:val>
            <c:numRef>
              <c:f>DASHBOARD!$S$13:$S$14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50-4C9D-ABAF-8BD0E24E13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solidFill>
          <a:srgbClr val="0E1713"/>
        </a:solidFill>
        <a:ln>
          <a:prstDash val="solid"/>
        </a:ln>
      </c:spPr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strRef>
              <c:f>DASHBOARD!$I$26</c:f>
              <c:strCache>
                <c:ptCount val="1"/>
                <c:pt idx="0">
                  <c:v>Valor</c:v>
                </c:pt>
              </c:strCache>
            </c:strRef>
          </c:tx>
          <c:spPr>
            <a:ln w="15000">
              <a:solidFill>
                <a:srgbClr val="C99C66"/>
              </a:solidFill>
              <a:prstDash val="solid"/>
            </a:ln>
          </c:spPr>
          <c:marker>
            <c:symbol val="none"/>
          </c:marker>
          <c:cat>
            <c:strRef>
              <c:f>DASHBOARD!$H$27:$H$33</c:f>
              <c:strCache>
                <c:ptCount val="7"/>
                <c:pt idx="0">
                  <c:v>D1</c:v>
                </c:pt>
                <c:pt idx="1">
                  <c:v>D2</c:v>
                </c:pt>
                <c:pt idx="2">
                  <c:v>D3</c:v>
                </c:pt>
                <c:pt idx="3">
                  <c:v>D4</c:v>
                </c:pt>
                <c:pt idx="4">
                  <c:v>D5</c:v>
                </c:pt>
                <c:pt idx="5">
                  <c:v>D6</c:v>
                </c:pt>
                <c:pt idx="6">
                  <c:v>D7</c:v>
                </c:pt>
              </c:strCache>
            </c:strRef>
          </c:cat>
          <c:val>
            <c:numRef>
              <c:f>DASHBOARD!$I$27:$I$33</c:f>
              <c:numCache>
                <c:formatCode>#,##0.0;\(#,##0.0\);"—"</c:formatCode>
                <c:ptCount val="7"/>
                <c:pt idx="0">
                  <c:v>20</c:v>
                </c:pt>
                <c:pt idx="1">
                  <c:v>18</c:v>
                </c:pt>
                <c:pt idx="2">
                  <c:v>17</c:v>
                </c:pt>
                <c:pt idx="3">
                  <c:v>13</c:v>
                </c:pt>
                <c:pt idx="4">
                  <c:v>11</c:v>
                </c:pt>
                <c:pt idx="5">
                  <c:v>7</c:v>
                </c:pt>
                <c:pt idx="6">
                  <c:v>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B00-4F80-B169-DA82F8EC47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numFmt formatCode="#,##0.0;\(#,##0.0\);&quot;—&quot;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solidFill>
          <a:srgbClr val="0E1713"/>
        </a:solidFill>
        <a:ln>
          <a:prstDash val="solid"/>
        </a:ln>
      </c:spPr>
    </c:plotArea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15</xdr:row>
      <xdr:rowOff>0</xdr:rowOff>
    </xdr:from>
    <xdr:ext cx="2880000" cy="1512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0</xdr:colOff>
      <xdr:row>11</xdr:row>
      <xdr:rowOff>0</xdr:rowOff>
    </xdr:from>
    <xdr:ext cx="2340000" cy="18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10</xdr:col>
      <xdr:colOff>0</xdr:colOff>
      <xdr:row>24</xdr:row>
      <xdr:rowOff>0</xdr:rowOff>
    </xdr:from>
    <xdr:ext cx="1980000" cy="1007999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E45"/>
  <sheetViews>
    <sheetView showGridLines="0" tabSelected="1" workbookViewId="0">
      <pane ySplit="4" topLeftCell="A5" activePane="bottomLeft" state="frozen"/>
      <selection pane="bottomLeft" sqref="A1:L1"/>
    </sheetView>
  </sheetViews>
  <sheetFormatPr defaultRowHeight="14.25" x14ac:dyDescent="0.45"/>
  <cols>
    <col min="1" max="1" width="2" customWidth="1"/>
    <col min="2" max="12" width="14" customWidth="1"/>
    <col min="26" max="31" width="13" hidden="1" customWidth="1"/>
  </cols>
  <sheetData>
    <row r="1" spans="1:19" ht="14" customHeight="1" x14ac:dyDescent="0.45">
      <c r="A1" s="31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1"/>
      <c r="N1" s="1"/>
    </row>
    <row r="2" spans="1:19" ht="28.05" customHeight="1" x14ac:dyDescent="0.45">
      <c r="A2" s="27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1"/>
      <c r="N2" s="1"/>
    </row>
    <row r="3" spans="1:19" ht="14" customHeight="1" x14ac:dyDescent="0.45">
      <c r="A3" s="24" t="s">
        <v>2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1"/>
      <c r="N3" s="1"/>
    </row>
    <row r="4" spans="1:19" x14ac:dyDescent="0.4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9" ht="13.05" customHeight="1" x14ac:dyDescent="0.45">
      <c r="A5" s="1"/>
      <c r="B5" s="19" t="s">
        <v>3</v>
      </c>
      <c r="C5" s="20"/>
      <c r="D5" s="19" t="s">
        <v>4</v>
      </c>
      <c r="E5" s="20"/>
      <c r="F5" s="19" t="s">
        <v>5</v>
      </c>
      <c r="G5" s="20"/>
      <c r="H5" s="19" t="s">
        <v>6</v>
      </c>
      <c r="I5" s="20"/>
      <c r="J5" s="19" t="s">
        <v>7</v>
      </c>
      <c r="K5" s="20"/>
      <c r="L5" s="1"/>
      <c r="M5" s="1"/>
      <c r="N5" s="1"/>
    </row>
    <row r="6" spans="1:19" ht="28.05" customHeight="1" x14ac:dyDescent="0.45">
      <c r="A6" s="1"/>
      <c r="B6" s="30">
        <f>Z40</f>
        <v>1</v>
      </c>
      <c r="C6" s="23"/>
      <c r="D6" s="26">
        <f>Z41</f>
        <v>1</v>
      </c>
      <c r="E6" s="23"/>
      <c r="F6" s="22">
        <f>Z42</f>
        <v>1</v>
      </c>
      <c r="G6" s="23"/>
      <c r="H6" s="28">
        <f>Z43</f>
        <v>6</v>
      </c>
      <c r="I6" s="23"/>
      <c r="J6" s="29">
        <f ca="1">Z45</f>
        <v>2</v>
      </c>
      <c r="K6" s="23"/>
      <c r="L6" s="1"/>
      <c r="M6" s="1"/>
      <c r="N6" s="1"/>
    </row>
    <row r="7" spans="1:19" ht="12" customHeight="1" x14ac:dyDescent="0.45">
      <c r="A7" s="1"/>
      <c r="B7" s="17"/>
      <c r="C7" s="18"/>
      <c r="D7" s="17"/>
      <c r="E7" s="18"/>
      <c r="F7" s="17"/>
      <c r="G7" s="18"/>
      <c r="H7" s="17"/>
      <c r="I7" s="18"/>
      <c r="J7" s="17"/>
      <c r="K7" s="18"/>
      <c r="L7" s="1"/>
      <c r="M7" s="1"/>
      <c r="N7" s="1"/>
    </row>
    <row r="8" spans="1:19" x14ac:dyDescent="0.4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9" ht="18" customHeight="1" x14ac:dyDescent="0.45">
      <c r="A9" s="1"/>
      <c r="B9" s="21" t="str">
        <f ca="1">IF(Z41&gt;3,"🟠 WIP alto — termine antes de puxar mais.",IF(Z45&gt;0,"🔴 Há tarefas bloqueadas/envelhecidas — atue.","🟢 Fluxo contínuo saudável."))</f>
        <v>🔴 Há tarefas bloqueadas/envelhecidas — atue.</v>
      </c>
      <c r="C9" s="18"/>
      <c r="D9" s="18"/>
      <c r="E9" s="18"/>
      <c r="F9" s="18"/>
      <c r="G9" s="18"/>
      <c r="H9" s="18"/>
      <c r="I9" s="18"/>
      <c r="J9" s="18"/>
      <c r="K9" s="18"/>
      <c r="L9" s="1"/>
      <c r="M9" s="1"/>
      <c r="N9" s="1"/>
    </row>
    <row r="10" spans="1:19" x14ac:dyDescent="0.4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9" x14ac:dyDescent="0.45">
      <c r="A11" s="1"/>
      <c r="B11" s="2" t="s">
        <v>8</v>
      </c>
      <c r="C11" s="1"/>
      <c r="D11" s="1"/>
      <c r="E11" s="1"/>
      <c r="F11" s="2" t="s">
        <v>9</v>
      </c>
      <c r="G11" s="1"/>
      <c r="H11" s="1"/>
      <c r="I11" s="1"/>
      <c r="J11" s="1"/>
      <c r="K11" s="1"/>
      <c r="L11" s="1"/>
      <c r="M11" s="1"/>
      <c r="N11" s="1"/>
    </row>
    <row r="12" spans="1:19" ht="18" customHeight="1" x14ac:dyDescent="0.45">
      <c r="A12" s="1"/>
      <c r="B12" s="3" t="s">
        <v>10</v>
      </c>
      <c r="C12" s="3" t="s">
        <v>11</v>
      </c>
      <c r="D12" s="3" t="s">
        <v>12</v>
      </c>
      <c r="E12" s="3" t="s">
        <v>13</v>
      </c>
      <c r="F12" s="3" t="s">
        <v>14</v>
      </c>
      <c r="G12" s="3" t="s">
        <v>15</v>
      </c>
      <c r="H12" s="1"/>
      <c r="I12" s="1"/>
      <c r="J12" s="1"/>
      <c r="K12" s="1"/>
      <c r="L12" s="1"/>
      <c r="M12" s="1"/>
      <c r="N12" s="1"/>
      <c r="R12" s="4" t="s">
        <v>16</v>
      </c>
      <c r="S12" s="4">
        <f>COUNTIF(TAREFAS!D:D,R12)</f>
        <v>1</v>
      </c>
    </row>
    <row r="13" spans="1:19" x14ac:dyDescent="0.45">
      <c r="A13" s="1"/>
      <c r="B13" s="5" t="s">
        <v>16</v>
      </c>
      <c r="C13" s="6">
        <v>0</v>
      </c>
      <c r="D13" s="6">
        <f>IF(G13&gt;=0,G13,0)</f>
        <v>1</v>
      </c>
      <c r="E13" s="6">
        <f>IF(G13&lt;0,-G13,0)</f>
        <v>0</v>
      </c>
      <c r="F13" s="6">
        <f>G13</f>
        <v>1</v>
      </c>
      <c r="G13" s="7">
        <f>$Z$40</f>
        <v>1</v>
      </c>
      <c r="H13" s="1"/>
      <c r="I13" s="1"/>
      <c r="J13" s="1"/>
      <c r="K13" s="1"/>
      <c r="L13" s="1"/>
      <c r="M13" s="1"/>
      <c r="N13" s="1"/>
      <c r="R13" s="4" t="s">
        <v>17</v>
      </c>
      <c r="S13" s="4">
        <f>COUNTIF(TAREFAS!D:D,R13)</f>
        <v>1</v>
      </c>
    </row>
    <row r="14" spans="1:19" x14ac:dyDescent="0.45">
      <c r="A14" s="1"/>
      <c r="B14" s="5" t="s">
        <v>18</v>
      </c>
      <c r="C14" s="6">
        <f>IF(G14&gt;=0,F13,F13+G14)</f>
        <v>1</v>
      </c>
      <c r="D14" s="6">
        <f>IF(G14&gt;=0,G14,0)</f>
        <v>1</v>
      </c>
      <c r="E14" s="6">
        <f>IF(G14&lt;0,-G14,0)</f>
        <v>0</v>
      </c>
      <c r="F14" s="6">
        <f>F13+G14</f>
        <v>2</v>
      </c>
      <c r="G14" s="7">
        <f>$Z$41</f>
        <v>1</v>
      </c>
      <c r="H14" s="1"/>
      <c r="I14" s="1"/>
      <c r="J14" s="1"/>
      <c r="K14" s="1"/>
      <c r="L14" s="1"/>
      <c r="M14" s="1"/>
      <c r="N14" s="1"/>
      <c r="R14" s="4" t="s">
        <v>19</v>
      </c>
      <c r="S14" s="4">
        <f>COUNTIF(TAREFAS!D:D,R14)</f>
        <v>1</v>
      </c>
    </row>
    <row r="15" spans="1:19" x14ac:dyDescent="0.45">
      <c r="A15" s="1"/>
      <c r="B15" s="5" t="s">
        <v>20</v>
      </c>
      <c r="C15" s="6">
        <f>IF(G15&gt;=0,F14,F14+G15)</f>
        <v>1</v>
      </c>
      <c r="D15" s="6">
        <f>IF(G15&gt;=0,G15,0)</f>
        <v>0</v>
      </c>
      <c r="E15" s="6">
        <f>IF(G15&lt;0,-G15,0)</f>
        <v>1</v>
      </c>
      <c r="F15" s="6">
        <f>F14+G15</f>
        <v>1</v>
      </c>
      <c r="G15" s="7">
        <f>-$Z$42</f>
        <v>-1</v>
      </c>
      <c r="H15" s="1"/>
      <c r="I15" s="1"/>
      <c r="J15" s="1"/>
      <c r="K15" s="1"/>
      <c r="L15" s="1"/>
      <c r="M15" s="1"/>
      <c r="N15" s="1"/>
    </row>
    <row r="16" spans="1:19" x14ac:dyDescent="0.45">
      <c r="A16" s="1"/>
      <c r="B16" s="5" t="s">
        <v>21</v>
      </c>
      <c r="C16" s="6">
        <v>0</v>
      </c>
      <c r="D16" s="6">
        <f>IF(G16&gt;=0,G16,0)</f>
        <v>1</v>
      </c>
      <c r="E16" s="6">
        <f>IF(G16&lt;0,-G16,0)</f>
        <v>0</v>
      </c>
      <c r="F16" s="6">
        <f>G16</f>
        <v>1</v>
      </c>
      <c r="G16" s="7">
        <f>$Z$40+$Z$41-$Z$42</f>
        <v>1</v>
      </c>
      <c r="H16" s="1"/>
      <c r="I16" s="1"/>
      <c r="J16" s="1"/>
      <c r="K16" s="1"/>
      <c r="L16" s="1"/>
      <c r="M16" s="1"/>
      <c r="N16" s="1"/>
    </row>
    <row r="17" spans="1:14" x14ac:dyDescent="0.4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x14ac:dyDescent="0.4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x14ac:dyDescent="0.4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x14ac:dyDescent="0.4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x14ac:dyDescent="0.4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x14ac:dyDescent="0.4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x14ac:dyDescent="0.4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x14ac:dyDescent="0.4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x14ac:dyDescent="0.45">
      <c r="A25" s="1"/>
      <c r="B25" s="2" t="s">
        <v>22</v>
      </c>
      <c r="C25" s="1"/>
      <c r="D25" s="1"/>
      <c r="E25" s="1"/>
      <c r="F25" s="1"/>
      <c r="G25" s="1"/>
      <c r="H25" s="2" t="s">
        <v>23</v>
      </c>
      <c r="I25" s="1"/>
      <c r="J25" s="1"/>
      <c r="K25" s="1"/>
      <c r="L25" s="1"/>
      <c r="M25" s="1"/>
      <c r="N25" s="1"/>
    </row>
    <row r="26" spans="1:14" ht="18" customHeight="1" x14ac:dyDescent="0.45">
      <c r="A26" s="1"/>
      <c r="B26" s="3" t="s">
        <v>24</v>
      </c>
      <c r="C26" s="3" t="s">
        <v>25</v>
      </c>
      <c r="D26" s="3" t="s">
        <v>26</v>
      </c>
      <c r="E26" s="3" t="s">
        <v>27</v>
      </c>
      <c r="F26" s="3" t="s">
        <v>28</v>
      </c>
      <c r="G26" s="3" t="s">
        <v>29</v>
      </c>
      <c r="H26" s="3" t="s">
        <v>30</v>
      </c>
      <c r="I26" s="3" t="s">
        <v>31</v>
      </c>
      <c r="J26" s="3" t="s">
        <v>32</v>
      </c>
      <c r="K26" s="1"/>
      <c r="L26" s="1"/>
      <c r="M26" s="1"/>
      <c r="N26" s="1"/>
    </row>
    <row r="27" spans="1:14" x14ac:dyDescent="0.45">
      <c r="A27" s="1"/>
      <c r="B27" s="5" t="s">
        <v>33</v>
      </c>
      <c r="C27" s="8">
        <f>$Z$41</f>
        <v>1</v>
      </c>
      <c r="D27" s="9">
        <v>1</v>
      </c>
      <c r="E27" s="9">
        <v>2</v>
      </c>
      <c r="F27" s="9">
        <v>3</v>
      </c>
      <c r="G27" s="9">
        <v>4</v>
      </c>
      <c r="H27" s="9" t="s">
        <v>34</v>
      </c>
      <c r="I27" s="10">
        <f>BURNDOWN!C6</f>
        <v>20</v>
      </c>
      <c r="J27" s="11" t="str">
        <f>IF(OR(I27="",NOT(ISNUMBER(I27))),"",REPT("▬",MAX(1,ROUND((I27-(MIN(I27:I33)))/MAX(0.000000001,(MAX(I27:I33))-(MIN(I27:I33)))*10,0))))</f>
        <v>▬▬▬▬▬▬▬▬▬▬</v>
      </c>
      <c r="K27" s="1"/>
      <c r="L27" s="1"/>
      <c r="M27" s="1"/>
      <c r="N27" s="1"/>
    </row>
    <row r="28" spans="1:14" x14ac:dyDescent="0.45">
      <c r="A28" s="1"/>
      <c r="B28" s="5" t="s">
        <v>35</v>
      </c>
      <c r="C28" s="8">
        <f>$Z$43</f>
        <v>6</v>
      </c>
      <c r="D28" s="9">
        <v>8</v>
      </c>
      <c r="E28" s="9">
        <v>7</v>
      </c>
      <c r="F28" s="9">
        <v>6.5</v>
      </c>
      <c r="G28" s="9">
        <v>6</v>
      </c>
      <c r="H28" s="9" t="s">
        <v>36</v>
      </c>
      <c r="I28" s="10">
        <f>BURNDOWN!C7</f>
        <v>18</v>
      </c>
      <c r="J28" s="11" t="str">
        <f>IF(OR(I28="",NOT(ISNUMBER(I28))),"",REPT("▬",MAX(1,ROUND((I28-(MIN(I27:I33)))/MAX(0.000000001,(MAX(I27:I33))-(MIN(I27:I33)))*10,0))))</f>
        <v>▬▬▬▬▬▬▬▬▬</v>
      </c>
      <c r="K28" s="1"/>
      <c r="L28" s="1"/>
      <c r="M28" s="1"/>
      <c r="N28" s="1"/>
    </row>
    <row r="29" spans="1:14" x14ac:dyDescent="0.45">
      <c r="A29" s="1"/>
      <c r="B29" s="5" t="s">
        <v>37</v>
      </c>
      <c r="C29" s="8">
        <f ca="1">$Z$45</f>
        <v>2</v>
      </c>
      <c r="D29" s="9">
        <v>5</v>
      </c>
      <c r="E29" s="9">
        <v>4</v>
      </c>
      <c r="F29" s="9">
        <v>3</v>
      </c>
      <c r="G29" s="9">
        <v>3</v>
      </c>
      <c r="H29" s="9" t="s">
        <v>38</v>
      </c>
      <c r="I29" s="10">
        <f>BURNDOWN!C8</f>
        <v>17</v>
      </c>
      <c r="J29" s="11" t="str">
        <f>IF(OR(I29="",NOT(ISNUMBER(I29))),"",REPT("▬",MAX(1,ROUND((I29-(MIN(I27:I33)))/MAX(0.000000001,(MAX(I27:I33))-(MIN(I27:I33)))*10,0))))</f>
        <v>▬▬▬▬▬▬▬▬</v>
      </c>
      <c r="K29" s="1"/>
      <c r="L29" s="1"/>
      <c r="M29" s="1"/>
      <c r="N29" s="1"/>
    </row>
    <row r="30" spans="1:14" x14ac:dyDescent="0.45">
      <c r="A30" s="1"/>
      <c r="B30" s="1"/>
      <c r="C30" s="1"/>
      <c r="D30" s="1"/>
      <c r="E30" s="1"/>
      <c r="F30" s="1"/>
      <c r="G30" s="1"/>
      <c r="H30" s="12" t="s">
        <v>39</v>
      </c>
      <c r="I30" s="10">
        <f>BURNDOWN!C9</f>
        <v>13</v>
      </c>
      <c r="J30" s="13" t="str">
        <f>IF(OR(I30="",NOT(ISNUMBER(I30))),"",REPT("▬",MAX(1,ROUND((I30-(MIN(I27:I33)))/MAX(0.000000001,(MAX(I27:I33))-(MIN(I27:I33)))*10,0))))</f>
        <v>▬▬▬▬▬▬</v>
      </c>
      <c r="K30" s="1"/>
      <c r="L30" s="1"/>
      <c r="M30" s="1"/>
      <c r="N30" s="1"/>
    </row>
    <row r="31" spans="1:14" x14ac:dyDescent="0.45">
      <c r="A31" s="1"/>
      <c r="B31" s="1"/>
      <c r="C31" s="1"/>
      <c r="D31" s="1"/>
      <c r="E31" s="1"/>
      <c r="F31" s="1"/>
      <c r="G31" s="1"/>
      <c r="H31" s="12" t="s">
        <v>40</v>
      </c>
      <c r="I31" s="10">
        <f>BURNDOWN!C10</f>
        <v>11</v>
      </c>
      <c r="J31" s="13" t="str">
        <f>IF(OR(I31="",NOT(ISNUMBER(I31))),"",REPT("▬",MAX(1,ROUND((I31-(MIN(I27:I33)))/MAX(0.000000001,(MAX(I27:I33))-(MIN(I27:I33)))*10,0))))</f>
        <v>▬▬▬▬</v>
      </c>
      <c r="K31" s="1"/>
      <c r="L31" s="1"/>
      <c r="M31" s="1"/>
      <c r="N31" s="1"/>
    </row>
    <row r="32" spans="1:14" x14ac:dyDescent="0.45">
      <c r="A32" s="1"/>
      <c r="B32" s="1"/>
      <c r="C32" s="1"/>
      <c r="D32" s="1"/>
      <c r="E32" s="1"/>
      <c r="F32" s="1"/>
      <c r="G32" s="1"/>
      <c r="H32" s="12" t="s">
        <v>41</v>
      </c>
      <c r="I32" s="10">
        <f>BURNDOWN!C11</f>
        <v>7</v>
      </c>
      <c r="J32" s="13" t="str">
        <f>IF(OR(I32="",NOT(ISNUMBER(I32))),"",REPT("▬",MAX(1,ROUND((I32-(MIN(I27:I33)))/MAX(0.000000001,(MAX(I27:I33))-(MIN(I27:I33)))*10,0))))</f>
        <v>▬▬</v>
      </c>
      <c r="K32" s="1"/>
      <c r="L32" s="1"/>
      <c r="M32" s="1"/>
      <c r="N32" s="1"/>
    </row>
    <row r="33" spans="1:26" x14ac:dyDescent="0.45">
      <c r="A33" s="1"/>
      <c r="B33" s="1"/>
      <c r="C33" s="1"/>
      <c r="D33" s="1"/>
      <c r="E33" s="1"/>
      <c r="F33" s="1"/>
      <c r="G33" s="1"/>
      <c r="H33" s="12" t="s">
        <v>42</v>
      </c>
      <c r="I33" s="10">
        <f>BURNDOWN!C12</f>
        <v>4</v>
      </c>
      <c r="J33" s="13" t="str">
        <f>IF(OR(I33="",NOT(ISNUMBER(I33))),"",REPT("▬",MAX(1,ROUND((I33-(MIN(I27:I33)))/MAX(0.000000001,(MAX(I27:I33))-(MIN(I27:I33)))*10,0))))</f>
        <v>▬</v>
      </c>
      <c r="K33" s="1"/>
      <c r="L33" s="1"/>
      <c r="M33" s="1"/>
      <c r="N33" s="1"/>
    </row>
    <row r="34" spans="1:26" x14ac:dyDescent="0.4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26" x14ac:dyDescent="0.4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26" x14ac:dyDescent="0.4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26" x14ac:dyDescent="0.4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26" x14ac:dyDescent="0.4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26" x14ac:dyDescent="0.4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26" x14ac:dyDescent="0.4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Z40">
        <f>COUNTIF(TAREFAS!D:D,"A fazer")</f>
        <v>1</v>
      </c>
    </row>
    <row r="41" spans="1:26" x14ac:dyDescent="0.45">
      <c r="Z41">
        <f>COUNTIF(TAREFAS!D:D,"Fazendo")</f>
        <v>1</v>
      </c>
    </row>
    <row r="42" spans="1:26" x14ac:dyDescent="0.45">
      <c r="Z42">
        <f>COUNTIF(TAREFAS!D:D,"Feito")</f>
        <v>1</v>
      </c>
    </row>
    <row r="43" spans="1:26" x14ac:dyDescent="0.45">
      <c r="Z43">
        <f>IFERROR(AVERAGE(TAREFAS!G6:G156),0)</f>
        <v>6</v>
      </c>
    </row>
    <row r="45" spans="1:26" x14ac:dyDescent="0.45">
      <c r="Z45">
        <f ca="1">SUMPRODUCT(--ISNUMBER(SEARCH("⚠",TAREFAS!I6:I156)))</f>
        <v>2</v>
      </c>
    </row>
  </sheetData>
  <mergeCells count="19">
    <mergeCell ref="A1:L1"/>
    <mergeCell ref="D5:E5"/>
    <mergeCell ref="H5:I5"/>
    <mergeCell ref="A2:L2"/>
    <mergeCell ref="H6:I6"/>
    <mergeCell ref="J6:K6"/>
    <mergeCell ref="F5:G5"/>
    <mergeCell ref="D7:E7"/>
    <mergeCell ref="H7:I7"/>
    <mergeCell ref="J7:K7"/>
    <mergeCell ref="B6:C6"/>
    <mergeCell ref="B5:C5"/>
    <mergeCell ref="B7:C7"/>
    <mergeCell ref="J5:K5"/>
    <mergeCell ref="B9:K9"/>
    <mergeCell ref="F6:G6"/>
    <mergeCell ref="A3:L3"/>
    <mergeCell ref="F7:G7"/>
    <mergeCell ref="D6:E6"/>
  </mergeCells>
  <conditionalFormatting sqref="C27:C29">
    <cfRule type="dataBar" priority="3">
      <dataBar>
        <cfvo type="min"/>
        <cfvo type="max"/>
        <color rgb="FFC99C66"/>
      </dataBar>
    </cfRule>
  </conditionalFormatting>
  <conditionalFormatting sqref="G13:G16">
    <cfRule type="cellIs" dxfId="1" priority="1" operator="greaterThan">
      <formula>0</formula>
    </cfRule>
    <cfRule type="cellIs" dxfId="0" priority="2" operator="lessThan">
      <formula>0</formula>
    </cfRule>
  </conditionalFormatting>
  <printOptions horizontalCentered="1"/>
  <pageMargins left="0.25" right="0.25" top="0.3" bottom="0.3" header="0.1" footer="0.1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00"/>
  <sheetViews>
    <sheetView showGridLines="0" workbookViewId="0"/>
  </sheetViews>
  <sheetFormatPr defaultRowHeight="14.25" x14ac:dyDescent="0.45"/>
  <cols>
    <col min="1" max="1" width="28" customWidth="1"/>
    <col min="2" max="2" width="14" customWidth="1"/>
    <col min="3" max="3" width="12" customWidth="1"/>
    <col min="4" max="4" width="11" customWidth="1"/>
    <col min="5" max="6" width="12" customWidth="1"/>
    <col min="7" max="7" width="11" customWidth="1"/>
    <col min="8" max="8" width="12" customWidth="1"/>
    <col min="9" max="9" width="16" customWidth="1"/>
  </cols>
  <sheetData>
    <row r="1" spans="1:12" ht="14" customHeight="1" x14ac:dyDescent="0.45">
      <c r="A1" s="31" t="s">
        <v>0</v>
      </c>
      <c r="B1" s="25"/>
      <c r="C1" s="25"/>
      <c r="D1" s="25"/>
      <c r="E1" s="25"/>
      <c r="F1" s="25"/>
      <c r="G1" s="25"/>
      <c r="H1" s="25"/>
      <c r="I1" s="25"/>
      <c r="J1" s="1"/>
      <c r="K1" s="1"/>
      <c r="L1" s="1"/>
    </row>
    <row r="2" spans="1:12" ht="28.05" customHeight="1" x14ac:dyDescent="0.45">
      <c r="A2" s="27" t="s">
        <v>43</v>
      </c>
      <c r="B2" s="25"/>
      <c r="C2" s="25"/>
      <c r="D2" s="25"/>
      <c r="E2" s="25"/>
      <c r="F2" s="25"/>
      <c r="G2" s="25"/>
      <c r="H2" s="25"/>
      <c r="I2" s="25"/>
      <c r="J2" s="1"/>
      <c r="K2" s="1"/>
      <c r="L2" s="1"/>
    </row>
    <row r="3" spans="1:12" ht="14" customHeight="1" x14ac:dyDescent="0.45">
      <c r="A3" s="24" t="s">
        <v>44</v>
      </c>
      <c r="B3" s="25"/>
      <c r="C3" s="25"/>
      <c r="D3" s="25"/>
      <c r="E3" s="25"/>
      <c r="F3" s="25"/>
      <c r="G3" s="25"/>
      <c r="H3" s="25"/>
      <c r="I3" s="25"/>
      <c r="J3" s="1"/>
      <c r="K3" s="1"/>
      <c r="L3" s="1"/>
    </row>
    <row r="4" spans="1:12" x14ac:dyDescent="0.4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18" customHeight="1" x14ac:dyDescent="0.45">
      <c r="A5" s="3" t="s">
        <v>45</v>
      </c>
      <c r="B5" s="3" t="s">
        <v>46</v>
      </c>
      <c r="C5" s="3" t="s">
        <v>47</v>
      </c>
      <c r="D5" s="3" t="s">
        <v>48</v>
      </c>
      <c r="E5" s="3" t="s">
        <v>49</v>
      </c>
      <c r="F5" s="3" t="s">
        <v>50</v>
      </c>
      <c r="G5" s="3" t="s">
        <v>51</v>
      </c>
      <c r="H5" s="3" t="s">
        <v>52</v>
      </c>
      <c r="I5" s="3" t="s">
        <v>53</v>
      </c>
      <c r="J5" s="1"/>
      <c r="K5" s="1"/>
      <c r="L5" s="1"/>
    </row>
    <row r="6" spans="1:12" x14ac:dyDescent="0.45">
      <c r="A6" s="14" t="s">
        <v>54</v>
      </c>
      <c r="B6" s="14" t="s">
        <v>55</v>
      </c>
      <c r="C6" s="14" t="s">
        <v>12</v>
      </c>
      <c r="D6" s="14" t="s">
        <v>17</v>
      </c>
      <c r="E6" s="15">
        <v>46220</v>
      </c>
      <c r="F6" s="15"/>
      <c r="G6" s="14" t="str">
        <f t="shared" ref="G6:G37" si="0">IF(AND(D6="Feito",E6&lt;&gt;"",F6&lt;&gt;""),F6-E6,"")</f>
        <v/>
      </c>
      <c r="H6" s="14">
        <f t="shared" ref="H6:H37" ca="1" si="1">IF(OR(D6="Feito",E6=""),"",TODAY()-E6)</f>
        <v>17</v>
      </c>
      <c r="I6" s="14" t="str">
        <f t="shared" ref="I6:I37" ca="1" si="2">IF(D6="Feito","",IF(H6="","",IF(H6&gt;7,"⚠ atraso","")))</f>
        <v>⚠ atraso</v>
      </c>
      <c r="J6" s="1"/>
      <c r="K6" s="1"/>
      <c r="L6" s="1"/>
    </row>
    <row r="7" spans="1:12" x14ac:dyDescent="0.45">
      <c r="A7" s="14" t="s">
        <v>56</v>
      </c>
      <c r="B7" s="14" t="s">
        <v>57</v>
      </c>
      <c r="C7" s="14" t="s">
        <v>58</v>
      </c>
      <c r="D7" s="14" t="s">
        <v>16</v>
      </c>
      <c r="E7" s="15">
        <v>46223</v>
      </c>
      <c r="F7" s="15"/>
      <c r="G7" s="14" t="str">
        <f t="shared" si="0"/>
        <v/>
      </c>
      <c r="H7" s="14">
        <f t="shared" ca="1" si="1"/>
        <v>14</v>
      </c>
      <c r="I7" s="14" t="str">
        <f t="shared" ca="1" si="2"/>
        <v>⚠ atraso</v>
      </c>
      <c r="J7" s="1"/>
      <c r="K7" s="1"/>
      <c r="L7" s="1"/>
    </row>
    <row r="8" spans="1:12" x14ac:dyDescent="0.45">
      <c r="A8" s="14" t="s">
        <v>59</v>
      </c>
      <c r="B8" s="14" t="s">
        <v>60</v>
      </c>
      <c r="C8" s="14" t="s">
        <v>12</v>
      </c>
      <c r="D8" s="14" t="s">
        <v>19</v>
      </c>
      <c r="E8" s="15">
        <v>46217</v>
      </c>
      <c r="F8" s="15">
        <v>46223</v>
      </c>
      <c r="G8" s="14">
        <f t="shared" si="0"/>
        <v>6</v>
      </c>
      <c r="H8" s="14" t="str">
        <f t="shared" ca="1" si="1"/>
        <v/>
      </c>
      <c r="I8" s="14" t="str">
        <f t="shared" si="2"/>
        <v/>
      </c>
      <c r="J8" s="1"/>
      <c r="K8" s="1"/>
      <c r="L8" s="1"/>
    </row>
    <row r="9" spans="1:12" x14ac:dyDescent="0.45">
      <c r="A9" s="14"/>
      <c r="B9" s="14"/>
      <c r="C9" s="14"/>
      <c r="D9" s="14"/>
      <c r="E9" s="15"/>
      <c r="F9" s="15"/>
      <c r="G9" s="14" t="str">
        <f t="shared" si="0"/>
        <v/>
      </c>
      <c r="H9" s="14" t="str">
        <f t="shared" ca="1" si="1"/>
        <v/>
      </c>
      <c r="I9" s="14" t="str">
        <f t="shared" ca="1" si="2"/>
        <v/>
      </c>
      <c r="J9" s="1"/>
      <c r="K9" s="1"/>
      <c r="L9" s="1"/>
    </row>
    <row r="10" spans="1:12" x14ac:dyDescent="0.45">
      <c r="A10" s="14"/>
      <c r="B10" s="14"/>
      <c r="C10" s="14"/>
      <c r="D10" s="14"/>
      <c r="E10" s="15"/>
      <c r="F10" s="15"/>
      <c r="G10" s="14" t="str">
        <f t="shared" si="0"/>
        <v/>
      </c>
      <c r="H10" s="14" t="str">
        <f t="shared" ca="1" si="1"/>
        <v/>
      </c>
      <c r="I10" s="14" t="str">
        <f t="shared" ca="1" si="2"/>
        <v/>
      </c>
      <c r="J10" s="1"/>
      <c r="K10" s="1"/>
      <c r="L10" s="1"/>
    </row>
    <row r="11" spans="1:12" x14ac:dyDescent="0.45">
      <c r="A11" s="14"/>
      <c r="B11" s="14"/>
      <c r="C11" s="14"/>
      <c r="D11" s="14"/>
      <c r="E11" s="15"/>
      <c r="F11" s="15"/>
      <c r="G11" s="14" t="str">
        <f t="shared" si="0"/>
        <v/>
      </c>
      <c r="H11" s="14" t="str">
        <f t="shared" ca="1" si="1"/>
        <v/>
      </c>
      <c r="I11" s="14" t="str">
        <f t="shared" ca="1" si="2"/>
        <v/>
      </c>
      <c r="J11" s="1"/>
      <c r="K11" s="1"/>
      <c r="L11" s="1"/>
    </row>
    <row r="12" spans="1:12" x14ac:dyDescent="0.45">
      <c r="A12" s="14"/>
      <c r="B12" s="14"/>
      <c r="C12" s="14"/>
      <c r="D12" s="14"/>
      <c r="E12" s="15"/>
      <c r="F12" s="15"/>
      <c r="G12" s="14" t="str">
        <f t="shared" si="0"/>
        <v/>
      </c>
      <c r="H12" s="14" t="str">
        <f t="shared" ca="1" si="1"/>
        <v/>
      </c>
      <c r="I12" s="14" t="str">
        <f t="shared" ca="1" si="2"/>
        <v/>
      </c>
      <c r="J12" s="1"/>
      <c r="K12" s="1"/>
      <c r="L12" s="1"/>
    </row>
    <row r="13" spans="1:12" x14ac:dyDescent="0.45">
      <c r="A13" s="14"/>
      <c r="B13" s="14"/>
      <c r="C13" s="14"/>
      <c r="D13" s="14"/>
      <c r="E13" s="15"/>
      <c r="F13" s="15"/>
      <c r="G13" s="14" t="str">
        <f t="shared" si="0"/>
        <v/>
      </c>
      <c r="H13" s="14" t="str">
        <f t="shared" ca="1" si="1"/>
        <v/>
      </c>
      <c r="I13" s="14" t="str">
        <f t="shared" ca="1" si="2"/>
        <v/>
      </c>
      <c r="J13" s="1"/>
      <c r="K13" s="1"/>
      <c r="L13" s="1"/>
    </row>
    <row r="14" spans="1:12" x14ac:dyDescent="0.45">
      <c r="A14" s="14"/>
      <c r="B14" s="14"/>
      <c r="C14" s="14"/>
      <c r="D14" s="14"/>
      <c r="E14" s="15"/>
      <c r="F14" s="15"/>
      <c r="G14" s="14" t="str">
        <f t="shared" si="0"/>
        <v/>
      </c>
      <c r="H14" s="14" t="str">
        <f t="shared" ca="1" si="1"/>
        <v/>
      </c>
      <c r="I14" s="14" t="str">
        <f t="shared" ca="1" si="2"/>
        <v/>
      </c>
      <c r="J14" s="1"/>
      <c r="K14" s="1"/>
      <c r="L14" s="1"/>
    </row>
    <row r="15" spans="1:12" x14ac:dyDescent="0.45">
      <c r="A15" s="14"/>
      <c r="B15" s="14"/>
      <c r="C15" s="14"/>
      <c r="D15" s="14"/>
      <c r="E15" s="15"/>
      <c r="F15" s="15"/>
      <c r="G15" s="14" t="str">
        <f t="shared" si="0"/>
        <v/>
      </c>
      <c r="H15" s="14" t="str">
        <f t="shared" ca="1" si="1"/>
        <v/>
      </c>
      <c r="I15" s="14" t="str">
        <f t="shared" ca="1" si="2"/>
        <v/>
      </c>
      <c r="J15" s="1"/>
      <c r="K15" s="1"/>
      <c r="L15" s="1"/>
    </row>
    <row r="16" spans="1:12" x14ac:dyDescent="0.45">
      <c r="A16" s="14"/>
      <c r="B16" s="14"/>
      <c r="C16" s="14"/>
      <c r="D16" s="14"/>
      <c r="E16" s="15"/>
      <c r="F16" s="15"/>
      <c r="G16" s="14" t="str">
        <f t="shared" si="0"/>
        <v/>
      </c>
      <c r="H16" s="14" t="str">
        <f t="shared" ca="1" si="1"/>
        <v/>
      </c>
      <c r="I16" s="14" t="str">
        <f t="shared" ca="1" si="2"/>
        <v/>
      </c>
      <c r="J16" s="1"/>
      <c r="K16" s="1"/>
      <c r="L16" s="1"/>
    </row>
    <row r="17" spans="1:12" x14ac:dyDescent="0.45">
      <c r="A17" s="14"/>
      <c r="B17" s="14"/>
      <c r="C17" s="14"/>
      <c r="D17" s="14"/>
      <c r="E17" s="15"/>
      <c r="F17" s="15"/>
      <c r="G17" s="14" t="str">
        <f t="shared" si="0"/>
        <v/>
      </c>
      <c r="H17" s="14" t="str">
        <f t="shared" ca="1" si="1"/>
        <v/>
      </c>
      <c r="I17" s="14" t="str">
        <f t="shared" ca="1" si="2"/>
        <v/>
      </c>
      <c r="J17" s="1"/>
      <c r="K17" s="1"/>
      <c r="L17" s="1"/>
    </row>
    <row r="18" spans="1:12" x14ac:dyDescent="0.45">
      <c r="A18" s="14"/>
      <c r="B18" s="14"/>
      <c r="C18" s="14"/>
      <c r="D18" s="14"/>
      <c r="E18" s="15"/>
      <c r="F18" s="15"/>
      <c r="G18" s="14" t="str">
        <f t="shared" si="0"/>
        <v/>
      </c>
      <c r="H18" s="14" t="str">
        <f t="shared" ca="1" si="1"/>
        <v/>
      </c>
      <c r="I18" s="14" t="str">
        <f t="shared" ca="1" si="2"/>
        <v/>
      </c>
      <c r="J18" s="1"/>
      <c r="K18" s="1"/>
      <c r="L18" s="1"/>
    </row>
    <row r="19" spans="1:12" x14ac:dyDescent="0.45">
      <c r="A19" s="14"/>
      <c r="B19" s="14"/>
      <c r="C19" s="14"/>
      <c r="D19" s="14"/>
      <c r="E19" s="15"/>
      <c r="F19" s="15"/>
      <c r="G19" s="14" t="str">
        <f t="shared" si="0"/>
        <v/>
      </c>
      <c r="H19" s="14" t="str">
        <f t="shared" ca="1" si="1"/>
        <v/>
      </c>
      <c r="I19" s="14" t="str">
        <f t="shared" ca="1" si="2"/>
        <v/>
      </c>
      <c r="J19" s="1"/>
      <c r="K19" s="1"/>
      <c r="L19" s="1"/>
    </row>
    <row r="20" spans="1:12" x14ac:dyDescent="0.45">
      <c r="A20" s="14"/>
      <c r="B20" s="14"/>
      <c r="C20" s="14"/>
      <c r="D20" s="14"/>
      <c r="E20" s="15"/>
      <c r="F20" s="15"/>
      <c r="G20" s="14" t="str">
        <f t="shared" si="0"/>
        <v/>
      </c>
      <c r="H20" s="14" t="str">
        <f t="shared" ca="1" si="1"/>
        <v/>
      </c>
      <c r="I20" s="14" t="str">
        <f t="shared" ca="1" si="2"/>
        <v/>
      </c>
      <c r="J20" s="1"/>
      <c r="K20" s="1"/>
      <c r="L20" s="1"/>
    </row>
    <row r="21" spans="1:12" x14ac:dyDescent="0.45">
      <c r="A21" s="14"/>
      <c r="B21" s="14"/>
      <c r="C21" s="14"/>
      <c r="D21" s="14"/>
      <c r="E21" s="15"/>
      <c r="F21" s="15"/>
      <c r="G21" s="14" t="str">
        <f t="shared" si="0"/>
        <v/>
      </c>
      <c r="H21" s="14" t="str">
        <f t="shared" ca="1" si="1"/>
        <v/>
      </c>
      <c r="I21" s="14" t="str">
        <f t="shared" ca="1" si="2"/>
        <v/>
      </c>
      <c r="J21" s="1"/>
      <c r="K21" s="1"/>
      <c r="L21" s="1"/>
    </row>
    <row r="22" spans="1:12" x14ac:dyDescent="0.45">
      <c r="A22" s="14"/>
      <c r="B22" s="14"/>
      <c r="C22" s="14"/>
      <c r="D22" s="14"/>
      <c r="E22" s="15"/>
      <c r="F22" s="15"/>
      <c r="G22" s="14" t="str">
        <f t="shared" si="0"/>
        <v/>
      </c>
      <c r="H22" s="14" t="str">
        <f t="shared" ca="1" si="1"/>
        <v/>
      </c>
      <c r="I22" s="14" t="str">
        <f t="shared" ca="1" si="2"/>
        <v/>
      </c>
      <c r="J22" s="1"/>
      <c r="K22" s="1"/>
      <c r="L22" s="1"/>
    </row>
    <row r="23" spans="1:12" x14ac:dyDescent="0.45">
      <c r="A23" s="14"/>
      <c r="B23" s="14"/>
      <c r="C23" s="14"/>
      <c r="D23" s="14"/>
      <c r="E23" s="15"/>
      <c r="F23" s="15"/>
      <c r="G23" s="14" t="str">
        <f t="shared" si="0"/>
        <v/>
      </c>
      <c r="H23" s="14" t="str">
        <f t="shared" ca="1" si="1"/>
        <v/>
      </c>
      <c r="I23" s="14" t="str">
        <f t="shared" ca="1" si="2"/>
        <v/>
      </c>
      <c r="J23" s="1"/>
      <c r="K23" s="1"/>
      <c r="L23" s="1"/>
    </row>
    <row r="24" spans="1:12" x14ac:dyDescent="0.45">
      <c r="A24" s="14"/>
      <c r="B24" s="14"/>
      <c r="C24" s="14"/>
      <c r="D24" s="14"/>
      <c r="E24" s="15"/>
      <c r="F24" s="15"/>
      <c r="G24" s="14" t="str">
        <f t="shared" si="0"/>
        <v/>
      </c>
      <c r="H24" s="14" t="str">
        <f t="shared" ca="1" si="1"/>
        <v/>
      </c>
      <c r="I24" s="14" t="str">
        <f t="shared" ca="1" si="2"/>
        <v/>
      </c>
      <c r="J24" s="1"/>
      <c r="K24" s="1"/>
      <c r="L24" s="1"/>
    </row>
    <row r="25" spans="1:12" x14ac:dyDescent="0.45">
      <c r="A25" s="14"/>
      <c r="B25" s="14"/>
      <c r="C25" s="14"/>
      <c r="D25" s="14"/>
      <c r="E25" s="15"/>
      <c r="F25" s="15"/>
      <c r="G25" s="14" t="str">
        <f t="shared" si="0"/>
        <v/>
      </c>
      <c r="H25" s="14" t="str">
        <f t="shared" ca="1" si="1"/>
        <v/>
      </c>
      <c r="I25" s="14" t="str">
        <f t="shared" ca="1" si="2"/>
        <v/>
      </c>
      <c r="J25" s="1"/>
      <c r="K25" s="1"/>
      <c r="L25" s="1"/>
    </row>
    <row r="26" spans="1:12" x14ac:dyDescent="0.45">
      <c r="A26" s="14"/>
      <c r="B26" s="14"/>
      <c r="C26" s="14"/>
      <c r="D26" s="14"/>
      <c r="E26" s="15"/>
      <c r="F26" s="15"/>
      <c r="G26" s="14" t="str">
        <f t="shared" si="0"/>
        <v/>
      </c>
      <c r="H26" s="14" t="str">
        <f t="shared" ca="1" si="1"/>
        <v/>
      </c>
      <c r="I26" s="14" t="str">
        <f t="shared" ca="1" si="2"/>
        <v/>
      </c>
      <c r="J26" s="1"/>
      <c r="K26" s="1"/>
      <c r="L26" s="1"/>
    </row>
    <row r="27" spans="1:12" x14ac:dyDescent="0.45">
      <c r="A27" s="14"/>
      <c r="B27" s="14"/>
      <c r="C27" s="14"/>
      <c r="D27" s="14"/>
      <c r="E27" s="15"/>
      <c r="F27" s="15"/>
      <c r="G27" s="14" t="str">
        <f t="shared" si="0"/>
        <v/>
      </c>
      <c r="H27" s="14" t="str">
        <f t="shared" ca="1" si="1"/>
        <v/>
      </c>
      <c r="I27" s="14" t="str">
        <f t="shared" ca="1" si="2"/>
        <v/>
      </c>
      <c r="J27" s="1"/>
      <c r="K27" s="1"/>
      <c r="L27" s="1"/>
    </row>
    <row r="28" spans="1:12" x14ac:dyDescent="0.45">
      <c r="A28" s="14"/>
      <c r="B28" s="14"/>
      <c r="C28" s="14"/>
      <c r="D28" s="14"/>
      <c r="E28" s="15"/>
      <c r="F28" s="15"/>
      <c r="G28" s="14" t="str">
        <f t="shared" si="0"/>
        <v/>
      </c>
      <c r="H28" s="14" t="str">
        <f t="shared" ca="1" si="1"/>
        <v/>
      </c>
      <c r="I28" s="14" t="str">
        <f t="shared" ca="1" si="2"/>
        <v/>
      </c>
      <c r="J28" s="1"/>
      <c r="K28" s="1"/>
      <c r="L28" s="1"/>
    </row>
    <row r="29" spans="1:12" x14ac:dyDescent="0.45">
      <c r="A29" s="14"/>
      <c r="B29" s="14"/>
      <c r="C29" s="14"/>
      <c r="D29" s="14"/>
      <c r="E29" s="15"/>
      <c r="F29" s="15"/>
      <c r="G29" s="14" t="str">
        <f t="shared" si="0"/>
        <v/>
      </c>
      <c r="H29" s="14" t="str">
        <f t="shared" ca="1" si="1"/>
        <v/>
      </c>
      <c r="I29" s="14" t="str">
        <f t="shared" ca="1" si="2"/>
        <v/>
      </c>
      <c r="J29" s="1"/>
      <c r="K29" s="1"/>
      <c r="L29" s="1"/>
    </row>
    <row r="30" spans="1:12" x14ac:dyDescent="0.45">
      <c r="A30" s="14"/>
      <c r="B30" s="14"/>
      <c r="C30" s="14"/>
      <c r="D30" s="14"/>
      <c r="E30" s="15"/>
      <c r="F30" s="15"/>
      <c r="G30" s="14" t="str">
        <f t="shared" si="0"/>
        <v/>
      </c>
      <c r="H30" s="14" t="str">
        <f t="shared" ca="1" si="1"/>
        <v/>
      </c>
      <c r="I30" s="14" t="str">
        <f t="shared" ca="1" si="2"/>
        <v/>
      </c>
      <c r="J30" s="1"/>
      <c r="K30" s="1"/>
      <c r="L30" s="1"/>
    </row>
    <row r="31" spans="1:12" x14ac:dyDescent="0.45">
      <c r="A31" s="14"/>
      <c r="B31" s="14"/>
      <c r="C31" s="14"/>
      <c r="D31" s="14"/>
      <c r="E31" s="15"/>
      <c r="F31" s="15"/>
      <c r="G31" s="14" t="str">
        <f t="shared" si="0"/>
        <v/>
      </c>
      <c r="H31" s="14" t="str">
        <f t="shared" ca="1" si="1"/>
        <v/>
      </c>
      <c r="I31" s="14" t="str">
        <f t="shared" ca="1" si="2"/>
        <v/>
      </c>
      <c r="J31" s="1"/>
      <c r="K31" s="1"/>
      <c r="L31" s="1"/>
    </row>
    <row r="32" spans="1:12" x14ac:dyDescent="0.45">
      <c r="A32" s="14"/>
      <c r="B32" s="14"/>
      <c r="C32" s="14"/>
      <c r="D32" s="14"/>
      <c r="E32" s="15"/>
      <c r="F32" s="15"/>
      <c r="G32" s="14" t="str">
        <f t="shared" si="0"/>
        <v/>
      </c>
      <c r="H32" s="14" t="str">
        <f t="shared" ca="1" si="1"/>
        <v/>
      </c>
      <c r="I32" s="14" t="str">
        <f t="shared" ca="1" si="2"/>
        <v/>
      </c>
      <c r="J32" s="1"/>
      <c r="K32" s="1"/>
      <c r="L32" s="1"/>
    </row>
    <row r="33" spans="1:12" x14ac:dyDescent="0.45">
      <c r="A33" s="14"/>
      <c r="B33" s="14"/>
      <c r="C33" s="14"/>
      <c r="D33" s="14"/>
      <c r="E33" s="15"/>
      <c r="F33" s="15"/>
      <c r="G33" s="14" t="str">
        <f t="shared" si="0"/>
        <v/>
      </c>
      <c r="H33" s="14" t="str">
        <f t="shared" ca="1" si="1"/>
        <v/>
      </c>
      <c r="I33" s="14" t="str">
        <f t="shared" ca="1" si="2"/>
        <v/>
      </c>
      <c r="J33" s="1"/>
      <c r="K33" s="1"/>
      <c r="L33" s="1"/>
    </row>
    <row r="34" spans="1:12" x14ac:dyDescent="0.45">
      <c r="A34" s="14"/>
      <c r="B34" s="14"/>
      <c r="C34" s="14"/>
      <c r="D34" s="14"/>
      <c r="E34" s="15"/>
      <c r="F34" s="15"/>
      <c r="G34" s="14" t="str">
        <f t="shared" si="0"/>
        <v/>
      </c>
      <c r="H34" s="14" t="str">
        <f t="shared" ca="1" si="1"/>
        <v/>
      </c>
      <c r="I34" s="14" t="str">
        <f t="shared" ca="1" si="2"/>
        <v/>
      </c>
      <c r="J34" s="1"/>
      <c r="K34" s="1"/>
      <c r="L34" s="1"/>
    </row>
    <row r="35" spans="1:12" x14ac:dyDescent="0.45">
      <c r="A35" s="14"/>
      <c r="B35" s="14"/>
      <c r="C35" s="14"/>
      <c r="D35" s="14"/>
      <c r="E35" s="15"/>
      <c r="F35" s="15"/>
      <c r="G35" s="14" t="str">
        <f t="shared" si="0"/>
        <v/>
      </c>
      <c r="H35" s="14" t="str">
        <f t="shared" ca="1" si="1"/>
        <v/>
      </c>
      <c r="I35" s="14" t="str">
        <f t="shared" ca="1" si="2"/>
        <v/>
      </c>
      <c r="J35" s="1"/>
      <c r="K35" s="1"/>
      <c r="L35" s="1"/>
    </row>
    <row r="36" spans="1:12" x14ac:dyDescent="0.45">
      <c r="A36" s="14"/>
      <c r="B36" s="14"/>
      <c r="C36" s="14"/>
      <c r="D36" s="14"/>
      <c r="E36" s="15"/>
      <c r="F36" s="15"/>
      <c r="G36" s="14" t="str">
        <f t="shared" si="0"/>
        <v/>
      </c>
      <c r="H36" s="14" t="str">
        <f t="shared" ca="1" si="1"/>
        <v/>
      </c>
      <c r="I36" s="14" t="str">
        <f t="shared" ca="1" si="2"/>
        <v/>
      </c>
      <c r="J36" s="1"/>
      <c r="K36" s="1"/>
      <c r="L36" s="1"/>
    </row>
    <row r="37" spans="1:12" x14ac:dyDescent="0.45">
      <c r="A37" s="14"/>
      <c r="B37" s="14"/>
      <c r="C37" s="14"/>
      <c r="D37" s="14"/>
      <c r="E37" s="15"/>
      <c r="F37" s="15"/>
      <c r="G37" s="14" t="str">
        <f t="shared" si="0"/>
        <v/>
      </c>
      <c r="H37" s="14" t="str">
        <f t="shared" ca="1" si="1"/>
        <v/>
      </c>
      <c r="I37" s="14" t="str">
        <f t="shared" ca="1" si="2"/>
        <v/>
      </c>
      <c r="J37" s="1"/>
      <c r="K37" s="1"/>
      <c r="L37" s="1"/>
    </row>
    <row r="38" spans="1:12" x14ac:dyDescent="0.45">
      <c r="A38" s="14"/>
      <c r="B38" s="14"/>
      <c r="C38" s="14"/>
      <c r="D38" s="14"/>
      <c r="E38" s="15"/>
      <c r="F38" s="15"/>
      <c r="G38" s="14" t="str">
        <f t="shared" ref="G38:G69" si="3">IF(AND(D38="Feito",E38&lt;&gt;"",F38&lt;&gt;""),F38-E38,"")</f>
        <v/>
      </c>
      <c r="H38" s="14" t="str">
        <f t="shared" ref="H38:H69" ca="1" si="4">IF(OR(D38="Feito",E38=""),"",TODAY()-E38)</f>
        <v/>
      </c>
      <c r="I38" s="14" t="str">
        <f t="shared" ref="I38:I69" ca="1" si="5">IF(D38="Feito","",IF(H38="","",IF(H38&gt;7,"⚠ atraso","")))</f>
        <v/>
      </c>
      <c r="J38" s="1"/>
      <c r="K38" s="1"/>
      <c r="L38" s="1"/>
    </row>
    <row r="39" spans="1:12" x14ac:dyDescent="0.45">
      <c r="A39" s="14"/>
      <c r="B39" s="14"/>
      <c r="C39" s="14"/>
      <c r="D39" s="14"/>
      <c r="E39" s="15"/>
      <c r="F39" s="15"/>
      <c r="G39" s="14" t="str">
        <f t="shared" si="3"/>
        <v/>
      </c>
      <c r="H39" s="14" t="str">
        <f t="shared" ca="1" si="4"/>
        <v/>
      </c>
      <c r="I39" s="14" t="str">
        <f t="shared" ca="1" si="5"/>
        <v/>
      </c>
      <c r="J39" s="1"/>
      <c r="K39" s="1"/>
      <c r="L39" s="1"/>
    </row>
    <row r="40" spans="1:12" x14ac:dyDescent="0.45">
      <c r="A40" s="14"/>
      <c r="B40" s="14"/>
      <c r="C40" s="14"/>
      <c r="D40" s="14"/>
      <c r="E40" s="15"/>
      <c r="F40" s="15"/>
      <c r="G40" s="14" t="str">
        <f t="shared" si="3"/>
        <v/>
      </c>
      <c r="H40" s="14" t="str">
        <f t="shared" ca="1" si="4"/>
        <v/>
      </c>
      <c r="I40" s="14" t="str">
        <f t="shared" ca="1" si="5"/>
        <v/>
      </c>
      <c r="J40" s="1"/>
      <c r="K40" s="1"/>
      <c r="L40" s="1"/>
    </row>
    <row r="41" spans="1:12" x14ac:dyDescent="0.45">
      <c r="A41" s="14"/>
      <c r="B41" s="14"/>
      <c r="C41" s="14"/>
      <c r="D41" s="14"/>
      <c r="E41" s="15"/>
      <c r="F41" s="15"/>
      <c r="G41" s="14" t="str">
        <f t="shared" si="3"/>
        <v/>
      </c>
      <c r="H41" s="14" t="str">
        <f t="shared" ca="1" si="4"/>
        <v/>
      </c>
      <c r="I41" s="14" t="str">
        <f t="shared" ca="1" si="5"/>
        <v/>
      </c>
      <c r="J41" s="1"/>
      <c r="K41" s="1"/>
      <c r="L41" s="1"/>
    </row>
    <row r="42" spans="1:12" x14ac:dyDescent="0.45">
      <c r="A42" s="14"/>
      <c r="B42" s="14"/>
      <c r="C42" s="14"/>
      <c r="D42" s="14"/>
      <c r="E42" s="15"/>
      <c r="F42" s="15"/>
      <c r="G42" s="14" t="str">
        <f t="shared" si="3"/>
        <v/>
      </c>
      <c r="H42" s="14" t="str">
        <f t="shared" ca="1" si="4"/>
        <v/>
      </c>
      <c r="I42" s="14" t="str">
        <f t="shared" ca="1" si="5"/>
        <v/>
      </c>
      <c r="J42" s="1"/>
      <c r="K42" s="1"/>
      <c r="L42" s="1"/>
    </row>
    <row r="43" spans="1:12" x14ac:dyDescent="0.45">
      <c r="A43" s="14"/>
      <c r="B43" s="14"/>
      <c r="C43" s="14"/>
      <c r="D43" s="14"/>
      <c r="E43" s="15"/>
      <c r="F43" s="15"/>
      <c r="G43" s="14" t="str">
        <f t="shared" si="3"/>
        <v/>
      </c>
      <c r="H43" s="14" t="str">
        <f t="shared" ca="1" si="4"/>
        <v/>
      </c>
      <c r="I43" s="14" t="str">
        <f t="shared" ca="1" si="5"/>
        <v/>
      </c>
      <c r="J43" s="1"/>
      <c r="K43" s="1"/>
      <c r="L43" s="1"/>
    </row>
    <row r="44" spans="1:12" x14ac:dyDescent="0.45">
      <c r="A44" s="14"/>
      <c r="B44" s="14"/>
      <c r="C44" s="14"/>
      <c r="D44" s="14"/>
      <c r="E44" s="15"/>
      <c r="F44" s="15"/>
      <c r="G44" s="14" t="str">
        <f t="shared" si="3"/>
        <v/>
      </c>
      <c r="H44" s="14" t="str">
        <f t="shared" ca="1" si="4"/>
        <v/>
      </c>
      <c r="I44" s="14" t="str">
        <f t="shared" ca="1" si="5"/>
        <v/>
      </c>
      <c r="J44" s="1"/>
      <c r="K44" s="1"/>
      <c r="L44" s="1"/>
    </row>
    <row r="45" spans="1:12" x14ac:dyDescent="0.45">
      <c r="A45" s="14"/>
      <c r="B45" s="14"/>
      <c r="C45" s="14"/>
      <c r="D45" s="14"/>
      <c r="E45" s="15"/>
      <c r="F45" s="15"/>
      <c r="G45" s="14" t="str">
        <f t="shared" si="3"/>
        <v/>
      </c>
      <c r="H45" s="14" t="str">
        <f t="shared" ca="1" si="4"/>
        <v/>
      </c>
      <c r="I45" s="14" t="str">
        <f t="shared" ca="1" si="5"/>
        <v/>
      </c>
      <c r="J45" s="1"/>
      <c r="K45" s="1"/>
      <c r="L45" s="1"/>
    </row>
    <row r="46" spans="1:12" x14ac:dyDescent="0.45">
      <c r="A46" s="14"/>
      <c r="B46" s="14"/>
      <c r="C46" s="14"/>
      <c r="D46" s="14"/>
      <c r="E46" s="15"/>
      <c r="F46" s="15"/>
      <c r="G46" s="14" t="str">
        <f t="shared" si="3"/>
        <v/>
      </c>
      <c r="H46" s="14" t="str">
        <f t="shared" ca="1" si="4"/>
        <v/>
      </c>
      <c r="I46" s="14" t="str">
        <f t="shared" ca="1" si="5"/>
        <v/>
      </c>
      <c r="J46" s="1"/>
      <c r="K46" s="1"/>
      <c r="L46" s="1"/>
    </row>
    <row r="47" spans="1:12" x14ac:dyDescent="0.45">
      <c r="A47" s="14"/>
      <c r="B47" s="14"/>
      <c r="C47" s="14"/>
      <c r="D47" s="14"/>
      <c r="E47" s="15"/>
      <c r="F47" s="15"/>
      <c r="G47" s="14" t="str">
        <f t="shared" si="3"/>
        <v/>
      </c>
      <c r="H47" s="14" t="str">
        <f t="shared" ca="1" si="4"/>
        <v/>
      </c>
      <c r="I47" s="14" t="str">
        <f t="shared" ca="1" si="5"/>
        <v/>
      </c>
      <c r="J47" s="1"/>
      <c r="K47" s="1"/>
      <c r="L47" s="1"/>
    </row>
    <row r="48" spans="1:12" x14ac:dyDescent="0.45">
      <c r="A48" s="14"/>
      <c r="B48" s="14"/>
      <c r="C48" s="14"/>
      <c r="D48" s="14"/>
      <c r="E48" s="15"/>
      <c r="F48" s="15"/>
      <c r="G48" s="14" t="str">
        <f t="shared" si="3"/>
        <v/>
      </c>
      <c r="H48" s="14" t="str">
        <f t="shared" ca="1" si="4"/>
        <v/>
      </c>
      <c r="I48" s="14" t="str">
        <f t="shared" ca="1" si="5"/>
        <v/>
      </c>
      <c r="J48" s="1"/>
      <c r="K48" s="1"/>
      <c r="L48" s="1"/>
    </row>
    <row r="49" spans="1:12" x14ac:dyDescent="0.45">
      <c r="A49" s="14"/>
      <c r="B49" s="14"/>
      <c r="C49" s="14"/>
      <c r="D49" s="14"/>
      <c r="E49" s="15"/>
      <c r="F49" s="15"/>
      <c r="G49" s="14" t="str">
        <f t="shared" si="3"/>
        <v/>
      </c>
      <c r="H49" s="14" t="str">
        <f t="shared" ca="1" si="4"/>
        <v/>
      </c>
      <c r="I49" s="14" t="str">
        <f t="shared" ca="1" si="5"/>
        <v/>
      </c>
      <c r="J49" s="1"/>
      <c r="K49" s="1"/>
      <c r="L49" s="1"/>
    </row>
    <row r="50" spans="1:12" x14ac:dyDescent="0.45">
      <c r="A50" s="14"/>
      <c r="B50" s="14"/>
      <c r="C50" s="14"/>
      <c r="D50" s="14"/>
      <c r="E50" s="15"/>
      <c r="F50" s="15"/>
      <c r="G50" s="14" t="str">
        <f t="shared" si="3"/>
        <v/>
      </c>
      <c r="H50" s="14" t="str">
        <f t="shared" ca="1" si="4"/>
        <v/>
      </c>
      <c r="I50" s="14" t="str">
        <f t="shared" ca="1" si="5"/>
        <v/>
      </c>
      <c r="J50" s="1"/>
      <c r="K50" s="1"/>
      <c r="L50" s="1"/>
    </row>
    <row r="51" spans="1:12" x14ac:dyDescent="0.45">
      <c r="A51" s="14"/>
      <c r="B51" s="14"/>
      <c r="C51" s="14"/>
      <c r="D51" s="14"/>
      <c r="E51" s="15"/>
      <c r="F51" s="15"/>
      <c r="G51" s="14" t="str">
        <f t="shared" si="3"/>
        <v/>
      </c>
      <c r="H51" s="14" t="str">
        <f t="shared" ca="1" si="4"/>
        <v/>
      </c>
      <c r="I51" s="14" t="str">
        <f t="shared" ca="1" si="5"/>
        <v/>
      </c>
      <c r="J51" s="1"/>
      <c r="K51" s="1"/>
      <c r="L51" s="1"/>
    </row>
    <row r="52" spans="1:12" x14ac:dyDescent="0.45">
      <c r="A52" s="14"/>
      <c r="B52" s="14"/>
      <c r="C52" s="14"/>
      <c r="D52" s="14"/>
      <c r="E52" s="15"/>
      <c r="F52" s="15"/>
      <c r="G52" s="14" t="str">
        <f t="shared" si="3"/>
        <v/>
      </c>
      <c r="H52" s="14" t="str">
        <f t="shared" ca="1" si="4"/>
        <v/>
      </c>
      <c r="I52" s="14" t="str">
        <f t="shared" ca="1" si="5"/>
        <v/>
      </c>
      <c r="J52" s="1"/>
      <c r="K52" s="1"/>
      <c r="L52" s="1"/>
    </row>
    <row r="53" spans="1:12" x14ac:dyDescent="0.45">
      <c r="A53" s="14"/>
      <c r="B53" s="14"/>
      <c r="C53" s="14"/>
      <c r="D53" s="14"/>
      <c r="E53" s="15"/>
      <c r="F53" s="15"/>
      <c r="G53" s="14" t="str">
        <f t="shared" si="3"/>
        <v/>
      </c>
      <c r="H53" s="14" t="str">
        <f t="shared" ca="1" si="4"/>
        <v/>
      </c>
      <c r="I53" s="14" t="str">
        <f t="shared" ca="1" si="5"/>
        <v/>
      </c>
      <c r="J53" s="1"/>
      <c r="K53" s="1"/>
      <c r="L53" s="1"/>
    </row>
    <row r="54" spans="1:12" x14ac:dyDescent="0.45">
      <c r="A54" s="14"/>
      <c r="B54" s="14"/>
      <c r="C54" s="14"/>
      <c r="D54" s="14"/>
      <c r="E54" s="15"/>
      <c r="F54" s="15"/>
      <c r="G54" s="14" t="str">
        <f t="shared" si="3"/>
        <v/>
      </c>
      <c r="H54" s="14" t="str">
        <f t="shared" ca="1" si="4"/>
        <v/>
      </c>
      <c r="I54" s="14" t="str">
        <f t="shared" ca="1" si="5"/>
        <v/>
      </c>
      <c r="J54" s="1"/>
      <c r="K54" s="1"/>
      <c r="L54" s="1"/>
    </row>
    <row r="55" spans="1:12" x14ac:dyDescent="0.45">
      <c r="A55" s="14"/>
      <c r="B55" s="14"/>
      <c r="C55" s="14"/>
      <c r="D55" s="14"/>
      <c r="E55" s="15"/>
      <c r="F55" s="15"/>
      <c r="G55" s="14" t="str">
        <f t="shared" si="3"/>
        <v/>
      </c>
      <c r="H55" s="14" t="str">
        <f t="shared" ca="1" si="4"/>
        <v/>
      </c>
      <c r="I55" s="14" t="str">
        <f t="shared" ca="1" si="5"/>
        <v/>
      </c>
      <c r="J55" s="1"/>
      <c r="K55" s="1"/>
      <c r="L55" s="1"/>
    </row>
    <row r="56" spans="1:12" x14ac:dyDescent="0.45">
      <c r="A56" s="14"/>
      <c r="B56" s="14"/>
      <c r="C56" s="14"/>
      <c r="D56" s="14"/>
      <c r="E56" s="15"/>
      <c r="F56" s="15"/>
      <c r="G56" s="14" t="str">
        <f t="shared" si="3"/>
        <v/>
      </c>
      <c r="H56" s="14" t="str">
        <f t="shared" ca="1" si="4"/>
        <v/>
      </c>
      <c r="I56" s="14" t="str">
        <f t="shared" ca="1" si="5"/>
        <v/>
      </c>
      <c r="J56" s="1"/>
      <c r="K56" s="1"/>
      <c r="L56" s="1"/>
    </row>
    <row r="57" spans="1:12" x14ac:dyDescent="0.45">
      <c r="A57" s="14"/>
      <c r="B57" s="14"/>
      <c r="C57" s="14"/>
      <c r="D57" s="14"/>
      <c r="E57" s="15"/>
      <c r="F57" s="15"/>
      <c r="G57" s="14" t="str">
        <f t="shared" si="3"/>
        <v/>
      </c>
      <c r="H57" s="14" t="str">
        <f t="shared" ca="1" si="4"/>
        <v/>
      </c>
      <c r="I57" s="14" t="str">
        <f t="shared" ca="1" si="5"/>
        <v/>
      </c>
      <c r="J57" s="1"/>
      <c r="K57" s="1"/>
      <c r="L57" s="1"/>
    </row>
    <row r="58" spans="1:12" x14ac:dyDescent="0.45">
      <c r="A58" s="14"/>
      <c r="B58" s="14"/>
      <c r="C58" s="14"/>
      <c r="D58" s="14"/>
      <c r="E58" s="15"/>
      <c r="F58" s="15"/>
      <c r="G58" s="14" t="str">
        <f t="shared" si="3"/>
        <v/>
      </c>
      <c r="H58" s="14" t="str">
        <f t="shared" ca="1" si="4"/>
        <v/>
      </c>
      <c r="I58" s="14" t="str">
        <f t="shared" ca="1" si="5"/>
        <v/>
      </c>
      <c r="J58" s="1"/>
      <c r="K58" s="1"/>
      <c r="L58" s="1"/>
    </row>
    <row r="59" spans="1:12" x14ac:dyDescent="0.45">
      <c r="A59" s="14"/>
      <c r="B59" s="14"/>
      <c r="C59" s="14"/>
      <c r="D59" s="14"/>
      <c r="E59" s="15"/>
      <c r="F59" s="15"/>
      <c r="G59" s="14" t="str">
        <f t="shared" si="3"/>
        <v/>
      </c>
      <c r="H59" s="14" t="str">
        <f t="shared" ca="1" si="4"/>
        <v/>
      </c>
      <c r="I59" s="14" t="str">
        <f t="shared" ca="1" si="5"/>
        <v/>
      </c>
      <c r="J59" s="1"/>
      <c r="K59" s="1"/>
      <c r="L59" s="1"/>
    </row>
    <row r="60" spans="1:12" x14ac:dyDescent="0.45">
      <c r="A60" s="14"/>
      <c r="B60" s="14"/>
      <c r="C60" s="14"/>
      <c r="D60" s="14"/>
      <c r="E60" s="15"/>
      <c r="F60" s="15"/>
      <c r="G60" s="14" t="str">
        <f t="shared" si="3"/>
        <v/>
      </c>
      <c r="H60" s="14" t="str">
        <f t="shared" ca="1" si="4"/>
        <v/>
      </c>
      <c r="I60" s="14" t="str">
        <f t="shared" ca="1" si="5"/>
        <v/>
      </c>
      <c r="J60" s="1"/>
      <c r="K60" s="1"/>
      <c r="L60" s="1"/>
    </row>
    <row r="61" spans="1:12" x14ac:dyDescent="0.45">
      <c r="A61" s="14"/>
      <c r="B61" s="14"/>
      <c r="C61" s="14"/>
      <c r="D61" s="14"/>
      <c r="E61" s="15"/>
      <c r="F61" s="15"/>
      <c r="G61" s="14" t="str">
        <f t="shared" si="3"/>
        <v/>
      </c>
      <c r="H61" s="14" t="str">
        <f t="shared" ca="1" si="4"/>
        <v/>
      </c>
      <c r="I61" s="14" t="str">
        <f t="shared" ca="1" si="5"/>
        <v/>
      </c>
      <c r="J61" s="1"/>
      <c r="K61" s="1"/>
      <c r="L61" s="1"/>
    </row>
    <row r="62" spans="1:12" x14ac:dyDescent="0.45">
      <c r="A62" s="14"/>
      <c r="B62" s="14"/>
      <c r="C62" s="14"/>
      <c r="D62" s="14"/>
      <c r="E62" s="15"/>
      <c r="F62" s="15"/>
      <c r="G62" s="14" t="str">
        <f t="shared" si="3"/>
        <v/>
      </c>
      <c r="H62" s="14" t="str">
        <f t="shared" ca="1" si="4"/>
        <v/>
      </c>
      <c r="I62" s="14" t="str">
        <f t="shared" ca="1" si="5"/>
        <v/>
      </c>
      <c r="J62" s="1"/>
      <c r="K62" s="1"/>
      <c r="L62" s="1"/>
    </row>
    <row r="63" spans="1:12" x14ac:dyDescent="0.45">
      <c r="A63" s="14"/>
      <c r="B63" s="14"/>
      <c r="C63" s="14"/>
      <c r="D63" s="14"/>
      <c r="E63" s="15"/>
      <c r="F63" s="15"/>
      <c r="G63" s="14" t="str">
        <f t="shared" si="3"/>
        <v/>
      </c>
      <c r="H63" s="14" t="str">
        <f t="shared" ca="1" si="4"/>
        <v/>
      </c>
      <c r="I63" s="14" t="str">
        <f t="shared" ca="1" si="5"/>
        <v/>
      </c>
      <c r="J63" s="1"/>
      <c r="K63" s="1"/>
      <c r="L63" s="1"/>
    </row>
    <row r="64" spans="1:12" x14ac:dyDescent="0.45">
      <c r="A64" s="14"/>
      <c r="B64" s="14"/>
      <c r="C64" s="14"/>
      <c r="D64" s="14"/>
      <c r="E64" s="15"/>
      <c r="F64" s="15"/>
      <c r="G64" s="14" t="str">
        <f t="shared" si="3"/>
        <v/>
      </c>
      <c r="H64" s="14" t="str">
        <f t="shared" ca="1" si="4"/>
        <v/>
      </c>
      <c r="I64" s="14" t="str">
        <f t="shared" ca="1" si="5"/>
        <v/>
      </c>
      <c r="J64" s="1"/>
      <c r="K64" s="1"/>
      <c r="L64" s="1"/>
    </row>
    <row r="65" spans="1:12" x14ac:dyDescent="0.45">
      <c r="A65" s="14"/>
      <c r="B65" s="14"/>
      <c r="C65" s="14"/>
      <c r="D65" s="14"/>
      <c r="E65" s="15"/>
      <c r="F65" s="15"/>
      <c r="G65" s="14" t="str">
        <f t="shared" si="3"/>
        <v/>
      </c>
      <c r="H65" s="14" t="str">
        <f t="shared" ca="1" si="4"/>
        <v/>
      </c>
      <c r="I65" s="14" t="str">
        <f t="shared" ca="1" si="5"/>
        <v/>
      </c>
      <c r="J65" s="1"/>
      <c r="K65" s="1"/>
      <c r="L65" s="1"/>
    </row>
    <row r="66" spans="1:12" x14ac:dyDescent="0.45">
      <c r="A66" s="14"/>
      <c r="B66" s="14"/>
      <c r="C66" s="14"/>
      <c r="D66" s="14"/>
      <c r="E66" s="15"/>
      <c r="F66" s="15"/>
      <c r="G66" s="14" t="str">
        <f t="shared" si="3"/>
        <v/>
      </c>
      <c r="H66" s="14" t="str">
        <f t="shared" ca="1" si="4"/>
        <v/>
      </c>
      <c r="I66" s="14" t="str">
        <f t="shared" ca="1" si="5"/>
        <v/>
      </c>
      <c r="J66" s="1"/>
      <c r="K66" s="1"/>
      <c r="L66" s="1"/>
    </row>
    <row r="67" spans="1:12" x14ac:dyDescent="0.45">
      <c r="A67" s="14"/>
      <c r="B67" s="14"/>
      <c r="C67" s="14"/>
      <c r="D67" s="14"/>
      <c r="E67" s="15"/>
      <c r="F67" s="15"/>
      <c r="G67" s="14" t="str">
        <f t="shared" si="3"/>
        <v/>
      </c>
      <c r="H67" s="14" t="str">
        <f t="shared" ca="1" si="4"/>
        <v/>
      </c>
      <c r="I67" s="14" t="str">
        <f t="shared" ca="1" si="5"/>
        <v/>
      </c>
      <c r="J67" s="1"/>
      <c r="K67" s="1"/>
      <c r="L67" s="1"/>
    </row>
    <row r="68" spans="1:12" x14ac:dyDescent="0.45">
      <c r="A68" s="14"/>
      <c r="B68" s="14"/>
      <c r="C68" s="14"/>
      <c r="D68" s="14"/>
      <c r="E68" s="15"/>
      <c r="F68" s="15"/>
      <c r="G68" s="14" t="str">
        <f t="shared" si="3"/>
        <v/>
      </c>
      <c r="H68" s="14" t="str">
        <f t="shared" ca="1" si="4"/>
        <v/>
      </c>
      <c r="I68" s="14" t="str">
        <f t="shared" ca="1" si="5"/>
        <v/>
      </c>
      <c r="J68" s="1"/>
      <c r="K68" s="1"/>
      <c r="L68" s="1"/>
    </row>
    <row r="69" spans="1:12" x14ac:dyDescent="0.45">
      <c r="A69" s="14"/>
      <c r="B69" s="14"/>
      <c r="C69" s="14"/>
      <c r="D69" s="14"/>
      <c r="E69" s="15"/>
      <c r="F69" s="15"/>
      <c r="G69" s="14" t="str">
        <f t="shared" si="3"/>
        <v/>
      </c>
      <c r="H69" s="14" t="str">
        <f t="shared" ca="1" si="4"/>
        <v/>
      </c>
      <c r="I69" s="14" t="str">
        <f t="shared" ca="1" si="5"/>
        <v/>
      </c>
      <c r="J69" s="1"/>
      <c r="K69" s="1"/>
      <c r="L69" s="1"/>
    </row>
    <row r="70" spans="1:12" x14ac:dyDescent="0.45">
      <c r="A70" s="14"/>
      <c r="B70" s="14"/>
      <c r="C70" s="14"/>
      <c r="D70" s="14"/>
      <c r="E70" s="15"/>
      <c r="F70" s="15"/>
      <c r="G70" s="14" t="str">
        <f t="shared" ref="G70:G101" si="6">IF(AND(D70="Feito",E70&lt;&gt;"",F70&lt;&gt;""),F70-E70,"")</f>
        <v/>
      </c>
      <c r="H70" s="14" t="str">
        <f t="shared" ref="H70:H101" ca="1" si="7">IF(OR(D70="Feito",E70=""),"",TODAY()-E70)</f>
        <v/>
      </c>
      <c r="I70" s="14" t="str">
        <f t="shared" ref="I70:I101" ca="1" si="8">IF(D70="Feito","",IF(H70="","",IF(H70&gt;7,"⚠ atraso","")))</f>
        <v/>
      </c>
      <c r="J70" s="1"/>
      <c r="K70" s="1"/>
      <c r="L70" s="1"/>
    </row>
    <row r="71" spans="1:12" x14ac:dyDescent="0.45">
      <c r="A71" s="14"/>
      <c r="B71" s="14"/>
      <c r="C71" s="14"/>
      <c r="D71" s="14"/>
      <c r="E71" s="15"/>
      <c r="F71" s="15"/>
      <c r="G71" s="14" t="str">
        <f t="shared" si="6"/>
        <v/>
      </c>
      <c r="H71" s="14" t="str">
        <f t="shared" ca="1" si="7"/>
        <v/>
      </c>
      <c r="I71" s="14" t="str">
        <f t="shared" ca="1" si="8"/>
        <v/>
      </c>
      <c r="J71" s="1"/>
      <c r="K71" s="1"/>
      <c r="L71" s="1"/>
    </row>
    <row r="72" spans="1:12" x14ac:dyDescent="0.45">
      <c r="A72" s="14"/>
      <c r="B72" s="14"/>
      <c r="C72" s="14"/>
      <c r="D72" s="14"/>
      <c r="E72" s="15"/>
      <c r="F72" s="15"/>
      <c r="G72" s="14" t="str">
        <f t="shared" si="6"/>
        <v/>
      </c>
      <c r="H72" s="14" t="str">
        <f t="shared" ca="1" si="7"/>
        <v/>
      </c>
      <c r="I72" s="14" t="str">
        <f t="shared" ca="1" si="8"/>
        <v/>
      </c>
      <c r="J72" s="1"/>
      <c r="K72" s="1"/>
      <c r="L72" s="1"/>
    </row>
    <row r="73" spans="1:12" x14ac:dyDescent="0.45">
      <c r="A73" s="14"/>
      <c r="B73" s="14"/>
      <c r="C73" s="14"/>
      <c r="D73" s="14"/>
      <c r="E73" s="15"/>
      <c r="F73" s="15"/>
      <c r="G73" s="14" t="str">
        <f t="shared" si="6"/>
        <v/>
      </c>
      <c r="H73" s="14" t="str">
        <f t="shared" ca="1" si="7"/>
        <v/>
      </c>
      <c r="I73" s="14" t="str">
        <f t="shared" ca="1" si="8"/>
        <v/>
      </c>
      <c r="J73" s="1"/>
      <c r="K73" s="1"/>
      <c r="L73" s="1"/>
    </row>
    <row r="74" spans="1:12" x14ac:dyDescent="0.45">
      <c r="A74" s="14"/>
      <c r="B74" s="14"/>
      <c r="C74" s="14"/>
      <c r="D74" s="14"/>
      <c r="E74" s="15"/>
      <c r="F74" s="15"/>
      <c r="G74" s="14" t="str">
        <f t="shared" si="6"/>
        <v/>
      </c>
      <c r="H74" s="14" t="str">
        <f t="shared" ca="1" si="7"/>
        <v/>
      </c>
      <c r="I74" s="14" t="str">
        <f t="shared" ca="1" si="8"/>
        <v/>
      </c>
      <c r="J74" s="1"/>
      <c r="K74" s="1"/>
      <c r="L74" s="1"/>
    </row>
    <row r="75" spans="1:12" x14ac:dyDescent="0.45">
      <c r="A75" s="14"/>
      <c r="B75" s="14"/>
      <c r="C75" s="14"/>
      <c r="D75" s="14"/>
      <c r="E75" s="15"/>
      <c r="F75" s="15"/>
      <c r="G75" s="14" t="str">
        <f t="shared" si="6"/>
        <v/>
      </c>
      <c r="H75" s="14" t="str">
        <f t="shared" ca="1" si="7"/>
        <v/>
      </c>
      <c r="I75" s="14" t="str">
        <f t="shared" ca="1" si="8"/>
        <v/>
      </c>
      <c r="J75" s="1"/>
      <c r="K75" s="1"/>
      <c r="L75" s="1"/>
    </row>
    <row r="76" spans="1:12" x14ac:dyDescent="0.45">
      <c r="A76" s="14"/>
      <c r="B76" s="14"/>
      <c r="C76" s="14"/>
      <c r="D76" s="14"/>
      <c r="E76" s="15"/>
      <c r="F76" s="15"/>
      <c r="G76" s="14" t="str">
        <f t="shared" si="6"/>
        <v/>
      </c>
      <c r="H76" s="14" t="str">
        <f t="shared" ca="1" si="7"/>
        <v/>
      </c>
      <c r="I76" s="14" t="str">
        <f t="shared" ca="1" si="8"/>
        <v/>
      </c>
      <c r="J76" s="1"/>
      <c r="K76" s="1"/>
      <c r="L76" s="1"/>
    </row>
    <row r="77" spans="1:12" x14ac:dyDescent="0.45">
      <c r="A77" s="14"/>
      <c r="B77" s="14"/>
      <c r="C77" s="14"/>
      <c r="D77" s="14"/>
      <c r="E77" s="15"/>
      <c r="F77" s="15"/>
      <c r="G77" s="14" t="str">
        <f t="shared" si="6"/>
        <v/>
      </c>
      <c r="H77" s="14" t="str">
        <f t="shared" ca="1" si="7"/>
        <v/>
      </c>
      <c r="I77" s="14" t="str">
        <f t="shared" ca="1" si="8"/>
        <v/>
      </c>
      <c r="J77" s="1"/>
      <c r="K77" s="1"/>
      <c r="L77" s="1"/>
    </row>
    <row r="78" spans="1:12" x14ac:dyDescent="0.45">
      <c r="A78" s="14"/>
      <c r="B78" s="14"/>
      <c r="C78" s="14"/>
      <c r="D78" s="14"/>
      <c r="E78" s="15"/>
      <c r="F78" s="15"/>
      <c r="G78" s="14" t="str">
        <f t="shared" si="6"/>
        <v/>
      </c>
      <c r="H78" s="14" t="str">
        <f t="shared" ca="1" si="7"/>
        <v/>
      </c>
      <c r="I78" s="14" t="str">
        <f t="shared" ca="1" si="8"/>
        <v/>
      </c>
      <c r="J78" s="1"/>
      <c r="K78" s="1"/>
      <c r="L78" s="1"/>
    </row>
    <row r="79" spans="1:12" x14ac:dyDescent="0.45">
      <c r="A79" s="14"/>
      <c r="B79" s="14"/>
      <c r="C79" s="14"/>
      <c r="D79" s="14"/>
      <c r="E79" s="15"/>
      <c r="F79" s="15"/>
      <c r="G79" s="14" t="str">
        <f t="shared" si="6"/>
        <v/>
      </c>
      <c r="H79" s="14" t="str">
        <f t="shared" ca="1" si="7"/>
        <v/>
      </c>
      <c r="I79" s="14" t="str">
        <f t="shared" ca="1" si="8"/>
        <v/>
      </c>
      <c r="J79" s="1"/>
      <c r="K79" s="1"/>
      <c r="L79" s="1"/>
    </row>
    <row r="80" spans="1:12" x14ac:dyDescent="0.45">
      <c r="A80" s="14"/>
      <c r="B80" s="14"/>
      <c r="C80" s="14"/>
      <c r="D80" s="14"/>
      <c r="E80" s="15"/>
      <c r="F80" s="15"/>
      <c r="G80" s="14" t="str">
        <f t="shared" si="6"/>
        <v/>
      </c>
      <c r="H80" s="14" t="str">
        <f t="shared" ca="1" si="7"/>
        <v/>
      </c>
      <c r="I80" s="14" t="str">
        <f t="shared" ca="1" si="8"/>
        <v/>
      </c>
      <c r="J80" s="1"/>
      <c r="K80" s="1"/>
      <c r="L80" s="1"/>
    </row>
    <row r="81" spans="1:12" x14ac:dyDescent="0.45">
      <c r="A81" s="14"/>
      <c r="B81" s="14"/>
      <c r="C81" s="14"/>
      <c r="D81" s="14"/>
      <c r="E81" s="15"/>
      <c r="F81" s="15"/>
      <c r="G81" s="14" t="str">
        <f t="shared" si="6"/>
        <v/>
      </c>
      <c r="H81" s="14" t="str">
        <f t="shared" ca="1" si="7"/>
        <v/>
      </c>
      <c r="I81" s="14" t="str">
        <f t="shared" ca="1" si="8"/>
        <v/>
      </c>
      <c r="J81" s="1"/>
      <c r="K81" s="1"/>
      <c r="L81" s="1"/>
    </row>
    <row r="82" spans="1:12" x14ac:dyDescent="0.45">
      <c r="A82" s="14"/>
      <c r="B82" s="14"/>
      <c r="C82" s="14"/>
      <c r="D82" s="14"/>
      <c r="E82" s="15"/>
      <c r="F82" s="15"/>
      <c r="G82" s="14" t="str">
        <f t="shared" si="6"/>
        <v/>
      </c>
      <c r="H82" s="14" t="str">
        <f t="shared" ca="1" si="7"/>
        <v/>
      </c>
      <c r="I82" s="14" t="str">
        <f t="shared" ca="1" si="8"/>
        <v/>
      </c>
      <c r="J82" s="1"/>
      <c r="K82" s="1"/>
      <c r="L82" s="1"/>
    </row>
    <row r="83" spans="1:12" x14ac:dyDescent="0.45">
      <c r="A83" s="14"/>
      <c r="B83" s="14"/>
      <c r="C83" s="14"/>
      <c r="D83" s="14"/>
      <c r="E83" s="15"/>
      <c r="F83" s="15"/>
      <c r="G83" s="14" t="str">
        <f t="shared" si="6"/>
        <v/>
      </c>
      <c r="H83" s="14" t="str">
        <f t="shared" ca="1" si="7"/>
        <v/>
      </c>
      <c r="I83" s="14" t="str">
        <f t="shared" ca="1" si="8"/>
        <v/>
      </c>
      <c r="J83" s="1"/>
      <c r="K83" s="1"/>
      <c r="L83" s="1"/>
    </row>
    <row r="84" spans="1:12" x14ac:dyDescent="0.45">
      <c r="A84" s="14"/>
      <c r="B84" s="14"/>
      <c r="C84" s="14"/>
      <c r="D84" s="14"/>
      <c r="E84" s="15"/>
      <c r="F84" s="15"/>
      <c r="G84" s="14" t="str">
        <f t="shared" si="6"/>
        <v/>
      </c>
      <c r="H84" s="14" t="str">
        <f t="shared" ca="1" si="7"/>
        <v/>
      </c>
      <c r="I84" s="14" t="str">
        <f t="shared" ca="1" si="8"/>
        <v/>
      </c>
      <c r="J84" s="1"/>
      <c r="K84" s="1"/>
      <c r="L84" s="1"/>
    </row>
    <row r="85" spans="1:12" x14ac:dyDescent="0.45">
      <c r="A85" s="14"/>
      <c r="B85" s="14"/>
      <c r="C85" s="14"/>
      <c r="D85" s="14"/>
      <c r="E85" s="15"/>
      <c r="F85" s="15"/>
      <c r="G85" s="14" t="str">
        <f t="shared" si="6"/>
        <v/>
      </c>
      <c r="H85" s="14" t="str">
        <f t="shared" ca="1" si="7"/>
        <v/>
      </c>
      <c r="I85" s="14" t="str">
        <f t="shared" ca="1" si="8"/>
        <v/>
      </c>
      <c r="J85" s="1"/>
      <c r="K85" s="1"/>
      <c r="L85" s="1"/>
    </row>
    <row r="86" spans="1:12" x14ac:dyDescent="0.45">
      <c r="A86" s="14"/>
      <c r="B86" s="14"/>
      <c r="C86" s="14"/>
      <c r="D86" s="14"/>
      <c r="E86" s="15"/>
      <c r="F86" s="15"/>
      <c r="G86" s="14" t="str">
        <f t="shared" si="6"/>
        <v/>
      </c>
      <c r="H86" s="14" t="str">
        <f t="shared" ca="1" si="7"/>
        <v/>
      </c>
      <c r="I86" s="14" t="str">
        <f t="shared" ca="1" si="8"/>
        <v/>
      </c>
      <c r="J86" s="1"/>
      <c r="K86" s="1"/>
      <c r="L86" s="1"/>
    </row>
    <row r="87" spans="1:12" x14ac:dyDescent="0.45">
      <c r="A87" s="14"/>
      <c r="B87" s="14"/>
      <c r="C87" s="14"/>
      <c r="D87" s="14"/>
      <c r="E87" s="15"/>
      <c r="F87" s="15"/>
      <c r="G87" s="14" t="str">
        <f t="shared" si="6"/>
        <v/>
      </c>
      <c r="H87" s="14" t="str">
        <f t="shared" ca="1" si="7"/>
        <v/>
      </c>
      <c r="I87" s="14" t="str">
        <f t="shared" ca="1" si="8"/>
        <v/>
      </c>
      <c r="J87" s="1"/>
      <c r="K87" s="1"/>
      <c r="L87" s="1"/>
    </row>
    <row r="88" spans="1:12" x14ac:dyDescent="0.45">
      <c r="A88" s="14"/>
      <c r="B88" s="14"/>
      <c r="C88" s="14"/>
      <c r="D88" s="14"/>
      <c r="E88" s="15"/>
      <c r="F88" s="15"/>
      <c r="G88" s="14" t="str">
        <f t="shared" si="6"/>
        <v/>
      </c>
      <c r="H88" s="14" t="str">
        <f t="shared" ca="1" si="7"/>
        <v/>
      </c>
      <c r="I88" s="14" t="str">
        <f t="shared" ca="1" si="8"/>
        <v/>
      </c>
      <c r="J88" s="1"/>
      <c r="K88" s="1"/>
      <c r="L88" s="1"/>
    </row>
    <row r="89" spans="1:12" x14ac:dyDescent="0.45">
      <c r="A89" s="14"/>
      <c r="B89" s="14"/>
      <c r="C89" s="14"/>
      <c r="D89" s="14"/>
      <c r="E89" s="15"/>
      <c r="F89" s="15"/>
      <c r="G89" s="14" t="str">
        <f t="shared" si="6"/>
        <v/>
      </c>
      <c r="H89" s="14" t="str">
        <f t="shared" ca="1" si="7"/>
        <v/>
      </c>
      <c r="I89" s="14" t="str">
        <f t="shared" ca="1" si="8"/>
        <v/>
      </c>
      <c r="J89" s="1"/>
      <c r="K89" s="1"/>
      <c r="L89" s="1"/>
    </row>
    <row r="90" spans="1:12" x14ac:dyDescent="0.45">
      <c r="A90" s="14"/>
      <c r="B90" s="14"/>
      <c r="C90" s="14"/>
      <c r="D90" s="14"/>
      <c r="E90" s="15"/>
      <c r="F90" s="15"/>
      <c r="G90" s="14" t="str">
        <f t="shared" si="6"/>
        <v/>
      </c>
      <c r="H90" s="14" t="str">
        <f t="shared" ca="1" si="7"/>
        <v/>
      </c>
      <c r="I90" s="14" t="str">
        <f t="shared" ca="1" si="8"/>
        <v/>
      </c>
      <c r="J90" s="1"/>
      <c r="K90" s="1"/>
      <c r="L90" s="1"/>
    </row>
    <row r="91" spans="1:12" x14ac:dyDescent="0.45">
      <c r="A91" s="14"/>
      <c r="B91" s="14"/>
      <c r="C91" s="14"/>
      <c r="D91" s="14"/>
      <c r="E91" s="15"/>
      <c r="F91" s="15"/>
      <c r="G91" s="14" t="str">
        <f t="shared" si="6"/>
        <v/>
      </c>
      <c r="H91" s="14" t="str">
        <f t="shared" ca="1" si="7"/>
        <v/>
      </c>
      <c r="I91" s="14" t="str">
        <f t="shared" ca="1" si="8"/>
        <v/>
      </c>
      <c r="J91" s="1"/>
      <c r="K91" s="1"/>
      <c r="L91" s="1"/>
    </row>
    <row r="92" spans="1:12" x14ac:dyDescent="0.45">
      <c r="A92" s="14"/>
      <c r="B92" s="14"/>
      <c r="C92" s="14"/>
      <c r="D92" s="14"/>
      <c r="E92" s="15"/>
      <c r="F92" s="15"/>
      <c r="G92" s="14" t="str">
        <f t="shared" si="6"/>
        <v/>
      </c>
      <c r="H92" s="14" t="str">
        <f t="shared" ca="1" si="7"/>
        <v/>
      </c>
      <c r="I92" s="14" t="str">
        <f t="shared" ca="1" si="8"/>
        <v/>
      </c>
      <c r="J92" s="1"/>
      <c r="K92" s="1"/>
      <c r="L92" s="1"/>
    </row>
    <row r="93" spans="1:12" x14ac:dyDescent="0.45">
      <c r="A93" s="14"/>
      <c r="B93" s="14"/>
      <c r="C93" s="14"/>
      <c r="D93" s="14"/>
      <c r="E93" s="15"/>
      <c r="F93" s="15"/>
      <c r="G93" s="14" t="str">
        <f t="shared" si="6"/>
        <v/>
      </c>
      <c r="H93" s="14" t="str">
        <f t="shared" ca="1" si="7"/>
        <v/>
      </c>
      <c r="I93" s="14" t="str">
        <f t="shared" ca="1" si="8"/>
        <v/>
      </c>
      <c r="J93" s="1"/>
      <c r="K93" s="1"/>
      <c r="L93" s="1"/>
    </row>
    <row r="94" spans="1:12" x14ac:dyDescent="0.45">
      <c r="A94" s="14"/>
      <c r="B94" s="14"/>
      <c r="C94" s="14"/>
      <c r="D94" s="14"/>
      <c r="E94" s="15"/>
      <c r="F94" s="15"/>
      <c r="G94" s="14" t="str">
        <f t="shared" si="6"/>
        <v/>
      </c>
      <c r="H94" s="14" t="str">
        <f t="shared" ca="1" si="7"/>
        <v/>
      </c>
      <c r="I94" s="14" t="str">
        <f t="shared" ca="1" si="8"/>
        <v/>
      </c>
      <c r="J94" s="1"/>
      <c r="K94" s="1"/>
      <c r="L94" s="1"/>
    </row>
    <row r="95" spans="1:12" x14ac:dyDescent="0.45">
      <c r="A95" s="14"/>
      <c r="B95" s="14"/>
      <c r="C95" s="14"/>
      <c r="D95" s="14"/>
      <c r="E95" s="15"/>
      <c r="F95" s="15"/>
      <c r="G95" s="14" t="str">
        <f t="shared" si="6"/>
        <v/>
      </c>
      <c r="H95" s="14" t="str">
        <f t="shared" ca="1" si="7"/>
        <v/>
      </c>
      <c r="I95" s="14" t="str">
        <f t="shared" ca="1" si="8"/>
        <v/>
      </c>
      <c r="J95" s="1"/>
      <c r="K95" s="1"/>
      <c r="L95" s="1"/>
    </row>
    <row r="96" spans="1:12" x14ac:dyDescent="0.45">
      <c r="A96" s="14"/>
      <c r="B96" s="14"/>
      <c r="C96" s="14"/>
      <c r="D96" s="14"/>
      <c r="E96" s="15"/>
      <c r="F96" s="15"/>
      <c r="G96" s="14" t="str">
        <f t="shared" si="6"/>
        <v/>
      </c>
      <c r="H96" s="14" t="str">
        <f t="shared" ca="1" si="7"/>
        <v/>
      </c>
      <c r="I96" s="14" t="str">
        <f t="shared" ca="1" si="8"/>
        <v/>
      </c>
      <c r="J96" s="1"/>
      <c r="K96" s="1"/>
      <c r="L96" s="1"/>
    </row>
    <row r="97" spans="1:12" x14ac:dyDescent="0.45">
      <c r="A97" s="14"/>
      <c r="B97" s="14"/>
      <c r="C97" s="14"/>
      <c r="D97" s="14"/>
      <c r="E97" s="15"/>
      <c r="F97" s="15"/>
      <c r="G97" s="14" t="str">
        <f t="shared" si="6"/>
        <v/>
      </c>
      <c r="H97" s="14" t="str">
        <f t="shared" ca="1" si="7"/>
        <v/>
      </c>
      <c r="I97" s="14" t="str">
        <f t="shared" ca="1" si="8"/>
        <v/>
      </c>
      <c r="J97" s="1"/>
      <c r="K97" s="1"/>
      <c r="L97" s="1"/>
    </row>
    <row r="98" spans="1:12" x14ac:dyDescent="0.45">
      <c r="A98" s="14"/>
      <c r="B98" s="14"/>
      <c r="C98" s="14"/>
      <c r="D98" s="14"/>
      <c r="E98" s="15"/>
      <c r="F98" s="15"/>
      <c r="G98" s="14" t="str">
        <f t="shared" si="6"/>
        <v/>
      </c>
      <c r="H98" s="14" t="str">
        <f t="shared" ca="1" si="7"/>
        <v/>
      </c>
      <c r="I98" s="14" t="str">
        <f t="shared" ca="1" si="8"/>
        <v/>
      </c>
      <c r="J98" s="1"/>
      <c r="K98" s="1"/>
      <c r="L98" s="1"/>
    </row>
    <row r="99" spans="1:12" x14ac:dyDescent="0.45">
      <c r="A99" s="14"/>
      <c r="B99" s="14"/>
      <c r="C99" s="14"/>
      <c r="D99" s="14"/>
      <c r="E99" s="15"/>
      <c r="F99" s="15"/>
      <c r="G99" s="14" t="str">
        <f t="shared" si="6"/>
        <v/>
      </c>
      <c r="H99" s="14" t="str">
        <f t="shared" ca="1" si="7"/>
        <v/>
      </c>
      <c r="I99" s="14" t="str">
        <f t="shared" ca="1" si="8"/>
        <v/>
      </c>
      <c r="J99" s="1"/>
      <c r="K99" s="1"/>
      <c r="L99" s="1"/>
    </row>
    <row r="100" spans="1:12" x14ac:dyDescent="0.45">
      <c r="A100" s="14"/>
      <c r="B100" s="14"/>
      <c r="C100" s="14"/>
      <c r="D100" s="14"/>
      <c r="E100" s="15"/>
      <c r="F100" s="15"/>
      <c r="G100" s="14" t="str">
        <f t="shared" si="6"/>
        <v/>
      </c>
      <c r="H100" s="14" t="str">
        <f t="shared" ca="1" si="7"/>
        <v/>
      </c>
      <c r="I100" s="14" t="str">
        <f t="shared" ca="1" si="8"/>
        <v/>
      </c>
      <c r="J100" s="1"/>
      <c r="K100" s="1"/>
      <c r="L100" s="1"/>
    </row>
    <row r="101" spans="1:12" x14ac:dyDescent="0.45">
      <c r="A101" s="14"/>
      <c r="B101" s="14"/>
      <c r="C101" s="14"/>
      <c r="D101" s="14"/>
      <c r="E101" s="15"/>
      <c r="F101" s="15"/>
      <c r="G101" s="14" t="str">
        <f t="shared" si="6"/>
        <v/>
      </c>
      <c r="H101" s="14" t="str">
        <f t="shared" ca="1" si="7"/>
        <v/>
      </c>
      <c r="I101" s="14" t="str">
        <f t="shared" ca="1" si="8"/>
        <v/>
      </c>
      <c r="J101" s="1"/>
      <c r="K101" s="1"/>
      <c r="L101" s="1"/>
    </row>
    <row r="102" spans="1:12" x14ac:dyDescent="0.45">
      <c r="A102" s="14"/>
      <c r="B102" s="14"/>
      <c r="C102" s="14"/>
      <c r="D102" s="14"/>
      <c r="E102" s="15"/>
      <c r="F102" s="15"/>
      <c r="G102" s="14" t="str">
        <f t="shared" ref="G102:G133" si="9">IF(AND(D102="Feito",E102&lt;&gt;"",F102&lt;&gt;""),F102-E102,"")</f>
        <v/>
      </c>
      <c r="H102" s="14" t="str">
        <f t="shared" ref="H102:H133" ca="1" si="10">IF(OR(D102="Feito",E102=""),"",TODAY()-E102)</f>
        <v/>
      </c>
      <c r="I102" s="14" t="str">
        <f t="shared" ref="I102:I133" ca="1" si="11">IF(D102="Feito","",IF(H102="","",IF(H102&gt;7,"⚠ atraso","")))</f>
        <v/>
      </c>
      <c r="J102" s="1"/>
      <c r="K102" s="1"/>
      <c r="L102" s="1"/>
    </row>
    <row r="103" spans="1:12" x14ac:dyDescent="0.45">
      <c r="A103" s="14"/>
      <c r="B103" s="14"/>
      <c r="C103" s="14"/>
      <c r="D103" s="14"/>
      <c r="E103" s="15"/>
      <c r="F103" s="15"/>
      <c r="G103" s="14" t="str">
        <f t="shared" si="9"/>
        <v/>
      </c>
      <c r="H103" s="14" t="str">
        <f t="shared" ca="1" si="10"/>
        <v/>
      </c>
      <c r="I103" s="14" t="str">
        <f t="shared" ca="1" si="11"/>
        <v/>
      </c>
      <c r="J103" s="1"/>
      <c r="K103" s="1"/>
      <c r="L103" s="1"/>
    </row>
    <row r="104" spans="1:12" x14ac:dyDescent="0.45">
      <c r="A104" s="14"/>
      <c r="B104" s="14"/>
      <c r="C104" s="14"/>
      <c r="D104" s="14"/>
      <c r="E104" s="15"/>
      <c r="F104" s="15"/>
      <c r="G104" s="14" t="str">
        <f t="shared" si="9"/>
        <v/>
      </c>
      <c r="H104" s="14" t="str">
        <f t="shared" ca="1" si="10"/>
        <v/>
      </c>
      <c r="I104" s="14" t="str">
        <f t="shared" ca="1" si="11"/>
        <v/>
      </c>
      <c r="J104" s="1"/>
      <c r="K104" s="1"/>
      <c r="L104" s="1"/>
    </row>
    <row r="105" spans="1:12" x14ac:dyDescent="0.45">
      <c r="A105" s="14"/>
      <c r="B105" s="14"/>
      <c r="C105" s="14"/>
      <c r="D105" s="14"/>
      <c r="E105" s="15"/>
      <c r="F105" s="15"/>
      <c r="G105" s="14" t="str">
        <f t="shared" si="9"/>
        <v/>
      </c>
      <c r="H105" s="14" t="str">
        <f t="shared" ca="1" si="10"/>
        <v/>
      </c>
      <c r="I105" s="14" t="str">
        <f t="shared" ca="1" si="11"/>
        <v/>
      </c>
      <c r="J105" s="1"/>
      <c r="K105" s="1"/>
      <c r="L105" s="1"/>
    </row>
    <row r="106" spans="1:12" x14ac:dyDescent="0.45">
      <c r="A106" s="14"/>
      <c r="B106" s="14"/>
      <c r="C106" s="14"/>
      <c r="D106" s="14"/>
      <c r="E106" s="15"/>
      <c r="F106" s="15"/>
      <c r="G106" s="14" t="str">
        <f t="shared" si="9"/>
        <v/>
      </c>
      <c r="H106" s="14" t="str">
        <f t="shared" ca="1" si="10"/>
        <v/>
      </c>
      <c r="I106" s="14" t="str">
        <f t="shared" ca="1" si="11"/>
        <v/>
      </c>
      <c r="J106" s="1"/>
      <c r="K106" s="1"/>
      <c r="L106" s="1"/>
    </row>
    <row r="107" spans="1:12" x14ac:dyDescent="0.45">
      <c r="A107" s="14"/>
      <c r="B107" s="14"/>
      <c r="C107" s="14"/>
      <c r="D107" s="14"/>
      <c r="E107" s="15"/>
      <c r="F107" s="15"/>
      <c r="G107" s="14" t="str">
        <f t="shared" si="9"/>
        <v/>
      </c>
      <c r="H107" s="14" t="str">
        <f t="shared" ca="1" si="10"/>
        <v/>
      </c>
      <c r="I107" s="14" t="str">
        <f t="shared" ca="1" si="11"/>
        <v/>
      </c>
      <c r="J107" s="1"/>
      <c r="K107" s="1"/>
      <c r="L107" s="1"/>
    </row>
    <row r="108" spans="1:12" x14ac:dyDescent="0.45">
      <c r="A108" s="14"/>
      <c r="B108" s="14"/>
      <c r="C108" s="14"/>
      <c r="D108" s="14"/>
      <c r="E108" s="15"/>
      <c r="F108" s="15"/>
      <c r="G108" s="14" t="str">
        <f t="shared" si="9"/>
        <v/>
      </c>
      <c r="H108" s="14" t="str">
        <f t="shared" ca="1" si="10"/>
        <v/>
      </c>
      <c r="I108" s="14" t="str">
        <f t="shared" ca="1" si="11"/>
        <v/>
      </c>
      <c r="J108" s="1"/>
      <c r="K108" s="1"/>
      <c r="L108" s="1"/>
    </row>
    <row r="109" spans="1:12" x14ac:dyDescent="0.45">
      <c r="A109" s="14"/>
      <c r="B109" s="14"/>
      <c r="C109" s="14"/>
      <c r="D109" s="14"/>
      <c r="E109" s="15"/>
      <c r="F109" s="15"/>
      <c r="G109" s="14" t="str">
        <f t="shared" si="9"/>
        <v/>
      </c>
      <c r="H109" s="14" t="str">
        <f t="shared" ca="1" si="10"/>
        <v/>
      </c>
      <c r="I109" s="14" t="str">
        <f t="shared" ca="1" si="11"/>
        <v/>
      </c>
      <c r="J109" s="1"/>
      <c r="K109" s="1"/>
      <c r="L109" s="1"/>
    </row>
    <row r="110" spans="1:12" x14ac:dyDescent="0.45">
      <c r="A110" s="14"/>
      <c r="B110" s="14"/>
      <c r="C110" s="14"/>
      <c r="D110" s="14"/>
      <c r="E110" s="15"/>
      <c r="F110" s="15"/>
      <c r="G110" s="14" t="str">
        <f t="shared" si="9"/>
        <v/>
      </c>
      <c r="H110" s="14" t="str">
        <f t="shared" ca="1" si="10"/>
        <v/>
      </c>
      <c r="I110" s="14" t="str">
        <f t="shared" ca="1" si="11"/>
        <v/>
      </c>
      <c r="J110" s="1"/>
      <c r="K110" s="1"/>
      <c r="L110" s="1"/>
    </row>
    <row r="111" spans="1:12" x14ac:dyDescent="0.45">
      <c r="A111" s="14"/>
      <c r="B111" s="14"/>
      <c r="C111" s="14"/>
      <c r="D111" s="14"/>
      <c r="E111" s="15"/>
      <c r="F111" s="15"/>
      <c r="G111" s="14" t="str">
        <f t="shared" si="9"/>
        <v/>
      </c>
      <c r="H111" s="14" t="str">
        <f t="shared" ca="1" si="10"/>
        <v/>
      </c>
      <c r="I111" s="14" t="str">
        <f t="shared" ca="1" si="11"/>
        <v/>
      </c>
      <c r="J111" s="1"/>
      <c r="K111" s="1"/>
      <c r="L111" s="1"/>
    </row>
    <row r="112" spans="1:12" x14ac:dyDescent="0.45">
      <c r="A112" s="14"/>
      <c r="B112" s="14"/>
      <c r="C112" s="14"/>
      <c r="D112" s="14"/>
      <c r="E112" s="15"/>
      <c r="F112" s="15"/>
      <c r="G112" s="14" t="str">
        <f t="shared" si="9"/>
        <v/>
      </c>
      <c r="H112" s="14" t="str">
        <f t="shared" ca="1" si="10"/>
        <v/>
      </c>
      <c r="I112" s="14" t="str">
        <f t="shared" ca="1" si="11"/>
        <v/>
      </c>
      <c r="J112" s="1"/>
      <c r="K112" s="1"/>
      <c r="L112" s="1"/>
    </row>
    <row r="113" spans="1:12" x14ac:dyDescent="0.45">
      <c r="A113" s="14"/>
      <c r="B113" s="14"/>
      <c r="C113" s="14"/>
      <c r="D113" s="14"/>
      <c r="E113" s="15"/>
      <c r="F113" s="15"/>
      <c r="G113" s="14" t="str">
        <f t="shared" si="9"/>
        <v/>
      </c>
      <c r="H113" s="14" t="str">
        <f t="shared" ca="1" si="10"/>
        <v/>
      </c>
      <c r="I113" s="14" t="str">
        <f t="shared" ca="1" si="11"/>
        <v/>
      </c>
      <c r="J113" s="1"/>
      <c r="K113" s="1"/>
      <c r="L113" s="1"/>
    </row>
    <row r="114" spans="1:12" x14ac:dyDescent="0.45">
      <c r="A114" s="14"/>
      <c r="B114" s="14"/>
      <c r="C114" s="14"/>
      <c r="D114" s="14"/>
      <c r="E114" s="15"/>
      <c r="F114" s="15"/>
      <c r="G114" s="14" t="str">
        <f t="shared" si="9"/>
        <v/>
      </c>
      <c r="H114" s="14" t="str">
        <f t="shared" ca="1" si="10"/>
        <v/>
      </c>
      <c r="I114" s="14" t="str">
        <f t="shared" ca="1" si="11"/>
        <v/>
      </c>
      <c r="J114" s="1"/>
      <c r="K114" s="1"/>
      <c r="L114" s="1"/>
    </row>
    <row r="115" spans="1:12" x14ac:dyDescent="0.45">
      <c r="A115" s="14"/>
      <c r="B115" s="14"/>
      <c r="C115" s="14"/>
      <c r="D115" s="14"/>
      <c r="E115" s="15"/>
      <c r="F115" s="15"/>
      <c r="G115" s="14" t="str">
        <f t="shared" si="9"/>
        <v/>
      </c>
      <c r="H115" s="14" t="str">
        <f t="shared" ca="1" si="10"/>
        <v/>
      </c>
      <c r="I115" s="14" t="str">
        <f t="shared" ca="1" si="11"/>
        <v/>
      </c>
      <c r="J115" s="1"/>
      <c r="K115" s="1"/>
      <c r="L115" s="1"/>
    </row>
    <row r="116" spans="1:12" x14ac:dyDescent="0.45">
      <c r="A116" s="14"/>
      <c r="B116" s="14"/>
      <c r="C116" s="14"/>
      <c r="D116" s="14"/>
      <c r="E116" s="15"/>
      <c r="F116" s="15"/>
      <c r="G116" s="14" t="str">
        <f t="shared" si="9"/>
        <v/>
      </c>
      <c r="H116" s="14" t="str">
        <f t="shared" ca="1" si="10"/>
        <v/>
      </c>
      <c r="I116" s="14" t="str">
        <f t="shared" ca="1" si="11"/>
        <v/>
      </c>
      <c r="J116" s="1"/>
      <c r="K116" s="1"/>
      <c r="L116" s="1"/>
    </row>
    <row r="117" spans="1:12" x14ac:dyDescent="0.45">
      <c r="A117" s="14"/>
      <c r="B117" s="14"/>
      <c r="C117" s="14"/>
      <c r="D117" s="14"/>
      <c r="E117" s="15"/>
      <c r="F117" s="15"/>
      <c r="G117" s="14" t="str">
        <f t="shared" si="9"/>
        <v/>
      </c>
      <c r="H117" s="14" t="str">
        <f t="shared" ca="1" si="10"/>
        <v/>
      </c>
      <c r="I117" s="14" t="str">
        <f t="shared" ca="1" si="11"/>
        <v/>
      </c>
      <c r="J117" s="1"/>
      <c r="K117" s="1"/>
      <c r="L117" s="1"/>
    </row>
    <row r="118" spans="1:12" x14ac:dyDescent="0.45">
      <c r="A118" s="14"/>
      <c r="B118" s="14"/>
      <c r="C118" s="14"/>
      <c r="D118" s="14"/>
      <c r="E118" s="15"/>
      <c r="F118" s="15"/>
      <c r="G118" s="14" t="str">
        <f t="shared" si="9"/>
        <v/>
      </c>
      <c r="H118" s="14" t="str">
        <f t="shared" ca="1" si="10"/>
        <v/>
      </c>
      <c r="I118" s="14" t="str">
        <f t="shared" ca="1" si="11"/>
        <v/>
      </c>
      <c r="J118" s="1"/>
      <c r="K118" s="1"/>
      <c r="L118" s="1"/>
    </row>
    <row r="119" spans="1:12" x14ac:dyDescent="0.45">
      <c r="A119" s="14"/>
      <c r="B119" s="14"/>
      <c r="C119" s="14"/>
      <c r="D119" s="14"/>
      <c r="E119" s="15"/>
      <c r="F119" s="15"/>
      <c r="G119" s="14" t="str">
        <f t="shared" si="9"/>
        <v/>
      </c>
      <c r="H119" s="14" t="str">
        <f t="shared" ca="1" si="10"/>
        <v/>
      </c>
      <c r="I119" s="14" t="str">
        <f t="shared" ca="1" si="11"/>
        <v/>
      </c>
      <c r="J119" s="1"/>
      <c r="K119" s="1"/>
      <c r="L119" s="1"/>
    </row>
    <row r="120" spans="1:12" x14ac:dyDescent="0.45">
      <c r="A120" s="14"/>
      <c r="B120" s="14"/>
      <c r="C120" s="14"/>
      <c r="D120" s="14"/>
      <c r="E120" s="15"/>
      <c r="F120" s="15"/>
      <c r="G120" s="14" t="str">
        <f t="shared" si="9"/>
        <v/>
      </c>
      <c r="H120" s="14" t="str">
        <f t="shared" ca="1" si="10"/>
        <v/>
      </c>
      <c r="I120" s="14" t="str">
        <f t="shared" ca="1" si="11"/>
        <v/>
      </c>
      <c r="J120" s="1"/>
      <c r="K120" s="1"/>
      <c r="L120" s="1"/>
    </row>
    <row r="121" spans="1:12" x14ac:dyDescent="0.45">
      <c r="A121" s="14"/>
      <c r="B121" s="14"/>
      <c r="C121" s="14"/>
      <c r="D121" s="14"/>
      <c r="E121" s="15"/>
      <c r="F121" s="15"/>
      <c r="G121" s="14" t="str">
        <f t="shared" si="9"/>
        <v/>
      </c>
      <c r="H121" s="14" t="str">
        <f t="shared" ca="1" si="10"/>
        <v/>
      </c>
      <c r="I121" s="14" t="str">
        <f t="shared" ca="1" si="11"/>
        <v/>
      </c>
      <c r="J121" s="1"/>
      <c r="K121" s="1"/>
      <c r="L121" s="1"/>
    </row>
    <row r="122" spans="1:12" x14ac:dyDescent="0.45">
      <c r="A122" s="14"/>
      <c r="B122" s="14"/>
      <c r="C122" s="14"/>
      <c r="D122" s="14"/>
      <c r="E122" s="15"/>
      <c r="F122" s="15"/>
      <c r="G122" s="14" t="str">
        <f t="shared" si="9"/>
        <v/>
      </c>
      <c r="H122" s="14" t="str">
        <f t="shared" ca="1" si="10"/>
        <v/>
      </c>
      <c r="I122" s="14" t="str">
        <f t="shared" ca="1" si="11"/>
        <v/>
      </c>
      <c r="J122" s="1"/>
      <c r="K122" s="1"/>
      <c r="L122" s="1"/>
    </row>
    <row r="123" spans="1:12" x14ac:dyDescent="0.45">
      <c r="A123" s="14"/>
      <c r="B123" s="14"/>
      <c r="C123" s="14"/>
      <c r="D123" s="14"/>
      <c r="E123" s="15"/>
      <c r="F123" s="15"/>
      <c r="G123" s="14" t="str">
        <f t="shared" si="9"/>
        <v/>
      </c>
      <c r="H123" s="14" t="str">
        <f t="shared" ca="1" si="10"/>
        <v/>
      </c>
      <c r="I123" s="14" t="str">
        <f t="shared" ca="1" si="11"/>
        <v/>
      </c>
      <c r="J123" s="1"/>
      <c r="K123" s="1"/>
      <c r="L123" s="1"/>
    </row>
    <row r="124" spans="1:12" x14ac:dyDescent="0.45">
      <c r="A124" s="14"/>
      <c r="B124" s="14"/>
      <c r="C124" s="14"/>
      <c r="D124" s="14"/>
      <c r="E124" s="15"/>
      <c r="F124" s="15"/>
      <c r="G124" s="14" t="str">
        <f t="shared" si="9"/>
        <v/>
      </c>
      <c r="H124" s="14" t="str">
        <f t="shared" ca="1" si="10"/>
        <v/>
      </c>
      <c r="I124" s="14" t="str">
        <f t="shared" ca="1" si="11"/>
        <v/>
      </c>
      <c r="J124" s="1"/>
      <c r="K124" s="1"/>
      <c r="L124" s="1"/>
    </row>
    <row r="125" spans="1:12" x14ac:dyDescent="0.45">
      <c r="A125" s="14"/>
      <c r="B125" s="14"/>
      <c r="C125" s="14"/>
      <c r="D125" s="14"/>
      <c r="E125" s="15"/>
      <c r="F125" s="15"/>
      <c r="G125" s="14" t="str">
        <f t="shared" si="9"/>
        <v/>
      </c>
      <c r="H125" s="14" t="str">
        <f t="shared" ca="1" si="10"/>
        <v/>
      </c>
      <c r="I125" s="14" t="str">
        <f t="shared" ca="1" si="11"/>
        <v/>
      </c>
      <c r="J125" s="1"/>
      <c r="K125" s="1"/>
      <c r="L125" s="1"/>
    </row>
    <row r="126" spans="1:12" x14ac:dyDescent="0.45">
      <c r="A126" s="14"/>
      <c r="B126" s="14"/>
      <c r="C126" s="14"/>
      <c r="D126" s="14"/>
      <c r="E126" s="15"/>
      <c r="F126" s="15"/>
      <c r="G126" s="14" t="str">
        <f t="shared" si="9"/>
        <v/>
      </c>
      <c r="H126" s="14" t="str">
        <f t="shared" ca="1" si="10"/>
        <v/>
      </c>
      <c r="I126" s="14" t="str">
        <f t="shared" ca="1" si="11"/>
        <v/>
      </c>
      <c r="J126" s="1"/>
      <c r="K126" s="1"/>
      <c r="L126" s="1"/>
    </row>
    <row r="127" spans="1:12" x14ac:dyDescent="0.45">
      <c r="A127" s="14"/>
      <c r="B127" s="14"/>
      <c r="C127" s="14"/>
      <c r="D127" s="14"/>
      <c r="E127" s="15"/>
      <c r="F127" s="15"/>
      <c r="G127" s="14" t="str">
        <f t="shared" si="9"/>
        <v/>
      </c>
      <c r="H127" s="14" t="str">
        <f t="shared" ca="1" si="10"/>
        <v/>
      </c>
      <c r="I127" s="14" t="str">
        <f t="shared" ca="1" si="11"/>
        <v/>
      </c>
      <c r="J127" s="1"/>
      <c r="K127" s="1"/>
      <c r="L127" s="1"/>
    </row>
    <row r="128" spans="1:12" x14ac:dyDescent="0.45">
      <c r="A128" s="14"/>
      <c r="B128" s="14"/>
      <c r="C128" s="14"/>
      <c r="D128" s="14"/>
      <c r="E128" s="15"/>
      <c r="F128" s="15"/>
      <c r="G128" s="14" t="str">
        <f t="shared" si="9"/>
        <v/>
      </c>
      <c r="H128" s="14" t="str">
        <f t="shared" ca="1" si="10"/>
        <v/>
      </c>
      <c r="I128" s="14" t="str">
        <f t="shared" ca="1" si="11"/>
        <v/>
      </c>
      <c r="J128" s="1"/>
      <c r="K128" s="1"/>
      <c r="L128" s="1"/>
    </row>
    <row r="129" spans="1:12" x14ac:dyDescent="0.45">
      <c r="A129" s="14"/>
      <c r="B129" s="14"/>
      <c r="C129" s="14"/>
      <c r="D129" s="14"/>
      <c r="E129" s="15"/>
      <c r="F129" s="15"/>
      <c r="G129" s="14" t="str">
        <f t="shared" si="9"/>
        <v/>
      </c>
      <c r="H129" s="14" t="str">
        <f t="shared" ca="1" si="10"/>
        <v/>
      </c>
      <c r="I129" s="14" t="str">
        <f t="shared" ca="1" si="11"/>
        <v/>
      </c>
      <c r="J129" s="1"/>
      <c r="K129" s="1"/>
      <c r="L129" s="1"/>
    </row>
    <row r="130" spans="1:12" x14ac:dyDescent="0.45">
      <c r="A130" s="14"/>
      <c r="B130" s="14"/>
      <c r="C130" s="14"/>
      <c r="D130" s="14"/>
      <c r="E130" s="15"/>
      <c r="F130" s="15"/>
      <c r="G130" s="14" t="str">
        <f t="shared" si="9"/>
        <v/>
      </c>
      <c r="H130" s="14" t="str">
        <f t="shared" ca="1" si="10"/>
        <v/>
      </c>
      <c r="I130" s="14" t="str">
        <f t="shared" ca="1" si="11"/>
        <v/>
      </c>
      <c r="J130" s="1"/>
      <c r="K130" s="1"/>
      <c r="L130" s="1"/>
    </row>
    <row r="131" spans="1:12" x14ac:dyDescent="0.45">
      <c r="A131" s="14"/>
      <c r="B131" s="14"/>
      <c r="C131" s="14"/>
      <c r="D131" s="14"/>
      <c r="E131" s="15"/>
      <c r="F131" s="15"/>
      <c r="G131" s="14" t="str">
        <f t="shared" si="9"/>
        <v/>
      </c>
      <c r="H131" s="14" t="str">
        <f t="shared" ca="1" si="10"/>
        <v/>
      </c>
      <c r="I131" s="14" t="str">
        <f t="shared" ca="1" si="11"/>
        <v/>
      </c>
      <c r="J131" s="1"/>
      <c r="K131" s="1"/>
      <c r="L131" s="1"/>
    </row>
    <row r="132" spans="1:12" x14ac:dyDescent="0.45">
      <c r="A132" s="14"/>
      <c r="B132" s="14"/>
      <c r="C132" s="14"/>
      <c r="D132" s="14"/>
      <c r="E132" s="15"/>
      <c r="F132" s="15"/>
      <c r="G132" s="14" t="str">
        <f t="shared" si="9"/>
        <v/>
      </c>
      <c r="H132" s="14" t="str">
        <f t="shared" ca="1" si="10"/>
        <v/>
      </c>
      <c r="I132" s="14" t="str">
        <f t="shared" ca="1" si="11"/>
        <v/>
      </c>
      <c r="J132" s="1"/>
      <c r="K132" s="1"/>
      <c r="L132" s="1"/>
    </row>
    <row r="133" spans="1:12" x14ac:dyDescent="0.45">
      <c r="A133" s="14"/>
      <c r="B133" s="14"/>
      <c r="C133" s="14"/>
      <c r="D133" s="14"/>
      <c r="E133" s="15"/>
      <c r="F133" s="15"/>
      <c r="G133" s="14" t="str">
        <f t="shared" si="9"/>
        <v/>
      </c>
      <c r="H133" s="14" t="str">
        <f t="shared" ca="1" si="10"/>
        <v/>
      </c>
      <c r="I133" s="14" t="str">
        <f t="shared" ca="1" si="11"/>
        <v/>
      </c>
      <c r="J133" s="1"/>
      <c r="K133" s="1"/>
      <c r="L133" s="1"/>
    </row>
    <row r="134" spans="1:12" x14ac:dyDescent="0.45">
      <c r="A134" s="14"/>
      <c r="B134" s="14"/>
      <c r="C134" s="14"/>
      <c r="D134" s="14"/>
      <c r="E134" s="15"/>
      <c r="F134" s="15"/>
      <c r="G134" s="14" t="str">
        <f t="shared" ref="G134:G165" si="12">IF(AND(D134="Feito",E134&lt;&gt;"",F134&lt;&gt;""),F134-E134,"")</f>
        <v/>
      </c>
      <c r="H134" s="14" t="str">
        <f t="shared" ref="H134:H156" ca="1" si="13">IF(OR(D134="Feito",E134=""),"",TODAY()-E134)</f>
        <v/>
      </c>
      <c r="I134" s="14" t="str">
        <f t="shared" ref="I134:I165" ca="1" si="14">IF(D134="Feito","",IF(H134="","",IF(H134&gt;7,"⚠ atraso","")))</f>
        <v/>
      </c>
      <c r="J134" s="1"/>
      <c r="K134" s="1"/>
      <c r="L134" s="1"/>
    </row>
    <row r="135" spans="1:12" x14ac:dyDescent="0.45">
      <c r="A135" s="14"/>
      <c r="B135" s="14"/>
      <c r="C135" s="14"/>
      <c r="D135" s="14"/>
      <c r="E135" s="15"/>
      <c r="F135" s="15"/>
      <c r="G135" s="14" t="str">
        <f t="shared" si="12"/>
        <v/>
      </c>
      <c r="H135" s="14" t="str">
        <f t="shared" ca="1" si="13"/>
        <v/>
      </c>
      <c r="I135" s="14" t="str">
        <f t="shared" ca="1" si="14"/>
        <v/>
      </c>
      <c r="J135" s="1"/>
      <c r="K135" s="1"/>
      <c r="L135" s="1"/>
    </row>
    <row r="136" spans="1:12" x14ac:dyDescent="0.45">
      <c r="A136" s="14"/>
      <c r="B136" s="14"/>
      <c r="C136" s="14"/>
      <c r="D136" s="14"/>
      <c r="E136" s="15"/>
      <c r="F136" s="15"/>
      <c r="G136" s="14" t="str">
        <f t="shared" si="12"/>
        <v/>
      </c>
      <c r="H136" s="14" t="str">
        <f t="shared" ca="1" si="13"/>
        <v/>
      </c>
      <c r="I136" s="14" t="str">
        <f t="shared" ca="1" si="14"/>
        <v/>
      </c>
      <c r="J136" s="1"/>
      <c r="K136" s="1"/>
      <c r="L136" s="1"/>
    </row>
    <row r="137" spans="1:12" x14ac:dyDescent="0.45">
      <c r="A137" s="14"/>
      <c r="B137" s="14"/>
      <c r="C137" s="14"/>
      <c r="D137" s="14"/>
      <c r="E137" s="15"/>
      <c r="F137" s="15"/>
      <c r="G137" s="14" t="str">
        <f t="shared" si="12"/>
        <v/>
      </c>
      <c r="H137" s="14" t="str">
        <f t="shared" ca="1" si="13"/>
        <v/>
      </c>
      <c r="I137" s="14" t="str">
        <f t="shared" ca="1" si="14"/>
        <v/>
      </c>
      <c r="J137" s="1"/>
      <c r="K137" s="1"/>
      <c r="L137" s="1"/>
    </row>
    <row r="138" spans="1:12" x14ac:dyDescent="0.45">
      <c r="A138" s="14"/>
      <c r="B138" s="14"/>
      <c r="C138" s="14"/>
      <c r="D138" s="14"/>
      <c r="E138" s="15"/>
      <c r="F138" s="15"/>
      <c r="G138" s="14" t="str">
        <f t="shared" si="12"/>
        <v/>
      </c>
      <c r="H138" s="14" t="str">
        <f t="shared" ca="1" si="13"/>
        <v/>
      </c>
      <c r="I138" s="14" t="str">
        <f t="shared" ca="1" si="14"/>
        <v/>
      </c>
      <c r="J138" s="1"/>
      <c r="K138" s="1"/>
      <c r="L138" s="1"/>
    </row>
    <row r="139" spans="1:12" x14ac:dyDescent="0.45">
      <c r="A139" s="14"/>
      <c r="B139" s="14"/>
      <c r="C139" s="14"/>
      <c r="D139" s="14"/>
      <c r="E139" s="15"/>
      <c r="F139" s="15"/>
      <c r="G139" s="14" t="str">
        <f t="shared" si="12"/>
        <v/>
      </c>
      <c r="H139" s="14" t="str">
        <f t="shared" ca="1" si="13"/>
        <v/>
      </c>
      <c r="I139" s="14" t="str">
        <f t="shared" ca="1" si="14"/>
        <v/>
      </c>
      <c r="J139" s="1"/>
      <c r="K139" s="1"/>
      <c r="L139" s="1"/>
    </row>
    <row r="140" spans="1:12" x14ac:dyDescent="0.45">
      <c r="A140" s="14"/>
      <c r="B140" s="14"/>
      <c r="C140" s="14"/>
      <c r="D140" s="14"/>
      <c r="E140" s="15"/>
      <c r="F140" s="15"/>
      <c r="G140" s="14" t="str">
        <f t="shared" si="12"/>
        <v/>
      </c>
      <c r="H140" s="14" t="str">
        <f t="shared" ca="1" si="13"/>
        <v/>
      </c>
      <c r="I140" s="14" t="str">
        <f t="shared" ca="1" si="14"/>
        <v/>
      </c>
      <c r="J140" s="1"/>
      <c r="K140" s="1"/>
      <c r="L140" s="1"/>
    </row>
    <row r="141" spans="1:12" x14ac:dyDescent="0.45">
      <c r="A141" s="14"/>
      <c r="B141" s="14"/>
      <c r="C141" s="14"/>
      <c r="D141" s="14"/>
      <c r="E141" s="15"/>
      <c r="F141" s="15"/>
      <c r="G141" s="14" t="str">
        <f t="shared" si="12"/>
        <v/>
      </c>
      <c r="H141" s="14" t="str">
        <f t="shared" ca="1" si="13"/>
        <v/>
      </c>
      <c r="I141" s="14" t="str">
        <f t="shared" ca="1" si="14"/>
        <v/>
      </c>
      <c r="J141" s="1"/>
      <c r="K141" s="1"/>
      <c r="L141" s="1"/>
    </row>
    <row r="142" spans="1:12" x14ac:dyDescent="0.45">
      <c r="A142" s="14"/>
      <c r="B142" s="14"/>
      <c r="C142" s="14"/>
      <c r="D142" s="14"/>
      <c r="E142" s="15"/>
      <c r="F142" s="15"/>
      <c r="G142" s="14" t="str">
        <f t="shared" si="12"/>
        <v/>
      </c>
      <c r="H142" s="14" t="str">
        <f t="shared" ca="1" si="13"/>
        <v/>
      </c>
      <c r="I142" s="14" t="str">
        <f t="shared" ca="1" si="14"/>
        <v/>
      </c>
      <c r="J142" s="1"/>
      <c r="K142" s="1"/>
      <c r="L142" s="1"/>
    </row>
    <row r="143" spans="1:12" x14ac:dyDescent="0.45">
      <c r="A143" s="14"/>
      <c r="B143" s="14"/>
      <c r="C143" s="14"/>
      <c r="D143" s="14"/>
      <c r="E143" s="15"/>
      <c r="F143" s="15"/>
      <c r="G143" s="14" t="str">
        <f t="shared" si="12"/>
        <v/>
      </c>
      <c r="H143" s="14" t="str">
        <f t="shared" ca="1" si="13"/>
        <v/>
      </c>
      <c r="I143" s="14" t="str">
        <f t="shared" ca="1" si="14"/>
        <v/>
      </c>
      <c r="J143" s="1"/>
      <c r="K143" s="1"/>
      <c r="L143" s="1"/>
    </row>
    <row r="144" spans="1:12" x14ac:dyDescent="0.45">
      <c r="A144" s="14"/>
      <c r="B144" s="14"/>
      <c r="C144" s="14"/>
      <c r="D144" s="14"/>
      <c r="E144" s="15"/>
      <c r="F144" s="15"/>
      <c r="G144" s="14" t="str">
        <f t="shared" si="12"/>
        <v/>
      </c>
      <c r="H144" s="14" t="str">
        <f t="shared" ca="1" si="13"/>
        <v/>
      </c>
      <c r="I144" s="14" t="str">
        <f t="shared" ca="1" si="14"/>
        <v/>
      </c>
      <c r="J144" s="1"/>
      <c r="K144" s="1"/>
      <c r="L144" s="1"/>
    </row>
    <row r="145" spans="1:12" x14ac:dyDescent="0.45">
      <c r="A145" s="14"/>
      <c r="B145" s="14"/>
      <c r="C145" s="14"/>
      <c r="D145" s="14"/>
      <c r="E145" s="15"/>
      <c r="F145" s="15"/>
      <c r="G145" s="14" t="str">
        <f t="shared" si="12"/>
        <v/>
      </c>
      <c r="H145" s="14" t="str">
        <f t="shared" ca="1" si="13"/>
        <v/>
      </c>
      <c r="I145" s="14" t="str">
        <f t="shared" ca="1" si="14"/>
        <v/>
      </c>
      <c r="J145" s="1"/>
      <c r="K145" s="1"/>
      <c r="L145" s="1"/>
    </row>
    <row r="146" spans="1:12" x14ac:dyDescent="0.45">
      <c r="A146" s="14"/>
      <c r="B146" s="14"/>
      <c r="C146" s="14"/>
      <c r="D146" s="14"/>
      <c r="E146" s="15"/>
      <c r="F146" s="15"/>
      <c r="G146" s="14" t="str">
        <f t="shared" si="12"/>
        <v/>
      </c>
      <c r="H146" s="14" t="str">
        <f t="shared" ca="1" si="13"/>
        <v/>
      </c>
      <c r="I146" s="14" t="str">
        <f t="shared" ca="1" si="14"/>
        <v/>
      </c>
      <c r="J146" s="1"/>
      <c r="K146" s="1"/>
      <c r="L146" s="1"/>
    </row>
    <row r="147" spans="1:12" x14ac:dyDescent="0.45">
      <c r="A147" s="14"/>
      <c r="B147" s="14"/>
      <c r="C147" s="14"/>
      <c r="D147" s="14"/>
      <c r="E147" s="15"/>
      <c r="F147" s="15"/>
      <c r="G147" s="14" t="str">
        <f t="shared" si="12"/>
        <v/>
      </c>
      <c r="H147" s="14" t="str">
        <f t="shared" ca="1" si="13"/>
        <v/>
      </c>
      <c r="I147" s="14" t="str">
        <f t="shared" ca="1" si="14"/>
        <v/>
      </c>
      <c r="J147" s="1"/>
      <c r="K147" s="1"/>
      <c r="L147" s="1"/>
    </row>
    <row r="148" spans="1:12" x14ac:dyDescent="0.45">
      <c r="A148" s="14"/>
      <c r="B148" s="14"/>
      <c r="C148" s="14"/>
      <c r="D148" s="14"/>
      <c r="E148" s="15"/>
      <c r="F148" s="15"/>
      <c r="G148" s="14" t="str">
        <f t="shared" si="12"/>
        <v/>
      </c>
      <c r="H148" s="14" t="str">
        <f t="shared" ca="1" si="13"/>
        <v/>
      </c>
      <c r="I148" s="14" t="str">
        <f t="shared" ca="1" si="14"/>
        <v/>
      </c>
      <c r="J148" s="1"/>
      <c r="K148" s="1"/>
      <c r="L148" s="1"/>
    </row>
    <row r="149" spans="1:12" x14ac:dyDescent="0.45">
      <c r="A149" s="14"/>
      <c r="B149" s="14"/>
      <c r="C149" s="14"/>
      <c r="D149" s="14"/>
      <c r="E149" s="15"/>
      <c r="F149" s="15"/>
      <c r="G149" s="14" t="str">
        <f t="shared" si="12"/>
        <v/>
      </c>
      <c r="H149" s="14" t="str">
        <f t="shared" ca="1" si="13"/>
        <v/>
      </c>
      <c r="I149" s="14" t="str">
        <f t="shared" ca="1" si="14"/>
        <v/>
      </c>
      <c r="J149" s="1"/>
      <c r="K149" s="1"/>
      <c r="L149" s="1"/>
    </row>
    <row r="150" spans="1:12" x14ac:dyDescent="0.45">
      <c r="A150" s="14"/>
      <c r="B150" s="14"/>
      <c r="C150" s="14"/>
      <c r="D150" s="14"/>
      <c r="E150" s="15"/>
      <c r="F150" s="15"/>
      <c r="G150" s="14" t="str">
        <f t="shared" si="12"/>
        <v/>
      </c>
      <c r="H150" s="14" t="str">
        <f t="shared" ca="1" si="13"/>
        <v/>
      </c>
      <c r="I150" s="14" t="str">
        <f t="shared" ca="1" si="14"/>
        <v/>
      </c>
      <c r="J150" s="1"/>
      <c r="K150" s="1"/>
      <c r="L150" s="1"/>
    </row>
    <row r="151" spans="1:12" x14ac:dyDescent="0.45">
      <c r="A151" s="14"/>
      <c r="B151" s="14"/>
      <c r="C151" s="14"/>
      <c r="D151" s="14"/>
      <c r="E151" s="15"/>
      <c r="F151" s="15"/>
      <c r="G151" s="14" t="str">
        <f t="shared" si="12"/>
        <v/>
      </c>
      <c r="H151" s="14" t="str">
        <f t="shared" ca="1" si="13"/>
        <v/>
      </c>
      <c r="I151" s="14" t="str">
        <f t="shared" ca="1" si="14"/>
        <v/>
      </c>
      <c r="J151" s="1"/>
      <c r="K151" s="1"/>
      <c r="L151" s="1"/>
    </row>
    <row r="152" spans="1:12" x14ac:dyDescent="0.45">
      <c r="A152" s="14"/>
      <c r="B152" s="14"/>
      <c r="C152" s="14"/>
      <c r="D152" s="14"/>
      <c r="E152" s="15"/>
      <c r="F152" s="15"/>
      <c r="G152" s="14" t="str">
        <f t="shared" si="12"/>
        <v/>
      </c>
      <c r="H152" s="14" t="str">
        <f t="shared" ca="1" si="13"/>
        <v/>
      </c>
      <c r="I152" s="14" t="str">
        <f t="shared" ca="1" si="14"/>
        <v/>
      </c>
      <c r="J152" s="1"/>
      <c r="K152" s="1"/>
      <c r="L152" s="1"/>
    </row>
    <row r="153" spans="1:12" x14ac:dyDescent="0.45">
      <c r="A153" s="14"/>
      <c r="B153" s="14"/>
      <c r="C153" s="14"/>
      <c r="D153" s="14"/>
      <c r="E153" s="15"/>
      <c r="F153" s="15"/>
      <c r="G153" s="14" t="str">
        <f t="shared" si="12"/>
        <v/>
      </c>
      <c r="H153" s="14" t="str">
        <f t="shared" ca="1" si="13"/>
        <v/>
      </c>
      <c r="I153" s="14" t="str">
        <f t="shared" ca="1" si="14"/>
        <v/>
      </c>
      <c r="J153" s="1"/>
      <c r="K153" s="1"/>
      <c r="L153" s="1"/>
    </row>
    <row r="154" spans="1:12" x14ac:dyDescent="0.45">
      <c r="A154" s="14"/>
      <c r="B154" s="14"/>
      <c r="C154" s="14"/>
      <c r="D154" s="14"/>
      <c r="E154" s="15"/>
      <c r="F154" s="15"/>
      <c r="G154" s="14" t="str">
        <f t="shared" si="12"/>
        <v/>
      </c>
      <c r="H154" s="14" t="str">
        <f t="shared" ca="1" si="13"/>
        <v/>
      </c>
      <c r="I154" s="14" t="str">
        <f t="shared" ca="1" si="14"/>
        <v/>
      </c>
      <c r="J154" s="1"/>
      <c r="K154" s="1"/>
      <c r="L154" s="1"/>
    </row>
    <row r="155" spans="1:12" x14ac:dyDescent="0.45">
      <c r="A155" s="14"/>
      <c r="B155" s="14"/>
      <c r="C155" s="14"/>
      <c r="D155" s="14"/>
      <c r="E155" s="15"/>
      <c r="F155" s="15"/>
      <c r="G155" s="14" t="str">
        <f t="shared" si="12"/>
        <v/>
      </c>
      <c r="H155" s="14" t="str">
        <f t="shared" ca="1" si="13"/>
        <v/>
      </c>
      <c r="I155" s="14" t="str">
        <f t="shared" ca="1" si="14"/>
        <v/>
      </c>
      <c r="J155" s="1"/>
      <c r="K155" s="1"/>
      <c r="L155" s="1"/>
    </row>
    <row r="156" spans="1:12" x14ac:dyDescent="0.45">
      <c r="A156" s="14"/>
      <c r="B156" s="14"/>
      <c r="C156" s="14"/>
      <c r="D156" s="14"/>
      <c r="E156" s="15"/>
      <c r="F156" s="15"/>
      <c r="G156" s="14" t="str">
        <f t="shared" si="12"/>
        <v/>
      </c>
      <c r="H156" s="14" t="str">
        <f t="shared" ca="1" si="13"/>
        <v/>
      </c>
      <c r="I156" s="14" t="str">
        <f t="shared" ca="1" si="14"/>
        <v/>
      </c>
      <c r="J156" s="1"/>
      <c r="K156" s="1"/>
      <c r="L156" s="1"/>
    </row>
    <row r="157" spans="1:12" x14ac:dyDescent="0.4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</row>
    <row r="158" spans="1:12" x14ac:dyDescent="0.4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</row>
    <row r="159" spans="1:12" x14ac:dyDescent="0.4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</row>
    <row r="160" spans="1:12" x14ac:dyDescent="0.4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</row>
    <row r="161" spans="1:12" x14ac:dyDescent="0.4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</row>
    <row r="162" spans="1:12" x14ac:dyDescent="0.4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</row>
    <row r="163" spans="1:12" x14ac:dyDescent="0.4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</row>
    <row r="164" spans="1:12" x14ac:dyDescent="0.4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</row>
    <row r="165" spans="1:12" x14ac:dyDescent="0.4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</row>
    <row r="166" spans="1:12" x14ac:dyDescent="0.4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</row>
    <row r="167" spans="1:12" x14ac:dyDescent="0.4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</row>
    <row r="168" spans="1:12" x14ac:dyDescent="0.4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</row>
    <row r="169" spans="1:12" x14ac:dyDescent="0.4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</row>
    <row r="170" spans="1:12" x14ac:dyDescent="0.4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</row>
    <row r="171" spans="1:12" x14ac:dyDescent="0.4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</row>
    <row r="172" spans="1:12" x14ac:dyDescent="0.4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</row>
    <row r="173" spans="1:12" x14ac:dyDescent="0.4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</row>
    <row r="174" spans="1:12" x14ac:dyDescent="0.4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</row>
    <row r="175" spans="1:12" x14ac:dyDescent="0.4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</row>
    <row r="176" spans="1:12" x14ac:dyDescent="0.4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</row>
    <row r="177" spans="1:12" x14ac:dyDescent="0.4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</row>
    <row r="178" spans="1:12" x14ac:dyDescent="0.4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</row>
    <row r="179" spans="1:12" x14ac:dyDescent="0.4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</row>
    <row r="180" spans="1:12" x14ac:dyDescent="0.4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</row>
    <row r="181" spans="1:12" x14ac:dyDescent="0.4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</row>
    <row r="182" spans="1:12" x14ac:dyDescent="0.4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</row>
    <row r="183" spans="1:12" x14ac:dyDescent="0.4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</row>
    <row r="184" spans="1:12" x14ac:dyDescent="0.4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</row>
    <row r="185" spans="1:12" x14ac:dyDescent="0.4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</row>
    <row r="186" spans="1:12" x14ac:dyDescent="0.4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</row>
    <row r="187" spans="1:12" x14ac:dyDescent="0.4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</row>
    <row r="188" spans="1:12" x14ac:dyDescent="0.4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</row>
    <row r="189" spans="1:12" x14ac:dyDescent="0.4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</row>
    <row r="190" spans="1:12" x14ac:dyDescent="0.4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</row>
    <row r="191" spans="1:12" x14ac:dyDescent="0.4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</row>
    <row r="192" spans="1:12" x14ac:dyDescent="0.4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</row>
    <row r="193" spans="1:12" x14ac:dyDescent="0.4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</row>
    <row r="194" spans="1:12" x14ac:dyDescent="0.4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</row>
    <row r="195" spans="1:12" x14ac:dyDescent="0.4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</row>
    <row r="196" spans="1:12" x14ac:dyDescent="0.4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</row>
    <row r="197" spans="1:12" x14ac:dyDescent="0.4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</row>
    <row r="198" spans="1:12" x14ac:dyDescent="0.4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</row>
    <row r="199" spans="1:12" x14ac:dyDescent="0.4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</row>
    <row r="200" spans="1:12" x14ac:dyDescent="0.4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</row>
  </sheetData>
  <mergeCells count="3">
    <mergeCell ref="A1:I1"/>
    <mergeCell ref="A3:I3"/>
    <mergeCell ref="A2:I2"/>
  </mergeCells>
  <conditionalFormatting sqref="H6:H156">
    <cfRule type="colorScale" priority="1">
      <colorScale>
        <cfvo type="num" val="0"/>
        <cfvo type="num" val="5"/>
        <cfvo type="num" val="10"/>
        <color rgb="FF2E9E5B"/>
        <color rgb="FFE0A94B"/>
        <color rgb="FFD9534F"/>
      </colorScale>
    </cfRule>
  </conditionalFormatting>
  <dataValidations count="1">
    <dataValidation type="list" allowBlank="1" errorTitle="Valor inválido" error="Selecione um valor da lista" promptTitle="Trust Excel" prompt="Escolha uma opção" sqref="D6:D156" xr:uid="{00000000-0002-0000-0100-000000000000}">
      <formula1>"A fazer,Fazendo,Feito"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0"/>
  <sheetViews>
    <sheetView showGridLines="0" workbookViewId="0"/>
  </sheetViews>
  <sheetFormatPr defaultRowHeight="14.25" x14ac:dyDescent="0.45"/>
  <sheetData>
    <row r="1" spans="1:8" ht="14" customHeight="1" x14ac:dyDescent="0.45">
      <c r="A1" s="31" t="s">
        <v>0</v>
      </c>
      <c r="B1" s="25"/>
      <c r="C1" s="25"/>
      <c r="D1" s="1"/>
      <c r="E1" s="1"/>
      <c r="F1" s="1"/>
      <c r="G1" s="1"/>
      <c r="H1" s="1"/>
    </row>
    <row r="2" spans="1:8" ht="28.05" customHeight="1" x14ac:dyDescent="0.45">
      <c r="A2" s="27" t="s">
        <v>61</v>
      </c>
      <c r="B2" s="25"/>
      <c r="C2" s="25"/>
      <c r="D2" s="1"/>
      <c r="E2" s="1"/>
      <c r="F2" s="1"/>
      <c r="G2" s="1"/>
      <c r="H2" s="1"/>
    </row>
    <row r="3" spans="1:8" ht="14" customHeight="1" x14ac:dyDescent="0.45">
      <c r="A3" s="24" t="s">
        <v>62</v>
      </c>
      <c r="B3" s="25"/>
      <c r="C3" s="25"/>
      <c r="D3" s="1"/>
      <c r="E3" s="1"/>
      <c r="F3" s="1"/>
      <c r="G3" s="1"/>
      <c r="H3" s="1"/>
    </row>
    <row r="4" spans="1:8" x14ac:dyDescent="0.45">
      <c r="A4" s="1"/>
      <c r="B4" s="1"/>
      <c r="C4" s="1"/>
      <c r="D4" s="1"/>
      <c r="E4" s="1"/>
      <c r="F4" s="1"/>
      <c r="G4" s="1"/>
      <c r="H4" s="1"/>
    </row>
    <row r="5" spans="1:8" ht="18" customHeight="1" x14ac:dyDescent="0.45">
      <c r="A5" s="3" t="s">
        <v>63</v>
      </c>
      <c r="B5" s="3" t="s">
        <v>64</v>
      </c>
      <c r="C5" s="3" t="s">
        <v>65</v>
      </c>
      <c r="D5" s="1"/>
      <c r="E5" s="1"/>
      <c r="F5" s="1"/>
      <c r="G5" s="1"/>
      <c r="H5" s="1"/>
    </row>
    <row r="6" spans="1:8" x14ac:dyDescent="0.45">
      <c r="A6" s="16" t="s">
        <v>34</v>
      </c>
      <c r="B6" s="16">
        <v>20</v>
      </c>
      <c r="C6" s="16">
        <v>20</v>
      </c>
      <c r="D6" s="1"/>
      <c r="E6" s="1"/>
      <c r="F6" s="1"/>
      <c r="G6" s="1"/>
      <c r="H6" s="1"/>
    </row>
    <row r="7" spans="1:8" x14ac:dyDescent="0.45">
      <c r="A7" s="16" t="s">
        <v>36</v>
      </c>
      <c r="B7" s="16">
        <v>17</v>
      </c>
      <c r="C7" s="16">
        <v>18</v>
      </c>
      <c r="D7" s="1"/>
      <c r="E7" s="1"/>
      <c r="F7" s="1"/>
      <c r="G7" s="1"/>
      <c r="H7" s="1"/>
    </row>
    <row r="8" spans="1:8" x14ac:dyDescent="0.45">
      <c r="A8" s="16" t="s">
        <v>38</v>
      </c>
      <c r="B8" s="16">
        <v>14</v>
      </c>
      <c r="C8" s="16">
        <v>17</v>
      </c>
      <c r="D8" s="1"/>
      <c r="E8" s="1"/>
      <c r="F8" s="1"/>
      <c r="G8" s="1"/>
      <c r="H8" s="1"/>
    </row>
    <row r="9" spans="1:8" x14ac:dyDescent="0.45">
      <c r="A9" s="16" t="s">
        <v>39</v>
      </c>
      <c r="B9" s="16">
        <v>11</v>
      </c>
      <c r="C9" s="16">
        <v>13</v>
      </c>
      <c r="D9" s="1"/>
      <c r="E9" s="1"/>
      <c r="F9" s="1"/>
      <c r="G9" s="1"/>
      <c r="H9" s="1"/>
    </row>
    <row r="10" spans="1:8" x14ac:dyDescent="0.45">
      <c r="A10" s="16" t="s">
        <v>40</v>
      </c>
      <c r="B10" s="16">
        <v>8</v>
      </c>
      <c r="C10" s="16">
        <v>11</v>
      </c>
      <c r="D10" s="1"/>
      <c r="E10" s="1"/>
      <c r="F10" s="1"/>
      <c r="G10" s="1"/>
      <c r="H10" s="1"/>
    </row>
    <row r="11" spans="1:8" x14ac:dyDescent="0.45">
      <c r="A11" s="16" t="s">
        <v>41</v>
      </c>
      <c r="B11" s="16">
        <v>5</v>
      </c>
      <c r="C11" s="16">
        <v>7</v>
      </c>
      <c r="D11" s="1"/>
      <c r="E11" s="1"/>
      <c r="F11" s="1"/>
      <c r="G11" s="1"/>
      <c r="H11" s="1"/>
    </row>
    <row r="12" spans="1:8" x14ac:dyDescent="0.45">
      <c r="A12" s="16" t="s">
        <v>42</v>
      </c>
      <c r="B12" s="16">
        <v>2</v>
      </c>
      <c r="C12" s="16">
        <v>4</v>
      </c>
      <c r="D12" s="1"/>
      <c r="E12" s="1"/>
      <c r="F12" s="1"/>
      <c r="G12" s="1"/>
      <c r="H12" s="1"/>
    </row>
    <row r="13" spans="1:8" x14ac:dyDescent="0.45">
      <c r="A13" s="1"/>
      <c r="B13" s="1"/>
      <c r="C13" s="1"/>
      <c r="D13" s="1"/>
      <c r="E13" s="1"/>
      <c r="F13" s="1"/>
      <c r="G13" s="1"/>
      <c r="H13" s="1"/>
    </row>
    <row r="14" spans="1:8" x14ac:dyDescent="0.45">
      <c r="A14" s="1"/>
      <c r="B14" s="1"/>
      <c r="C14" s="1"/>
      <c r="D14" s="1"/>
      <c r="E14" s="1"/>
      <c r="F14" s="1"/>
      <c r="G14" s="1"/>
      <c r="H14" s="1"/>
    </row>
    <row r="15" spans="1:8" x14ac:dyDescent="0.45">
      <c r="A15" s="1"/>
      <c r="B15" s="1"/>
      <c r="C15" s="1"/>
      <c r="D15" s="1"/>
      <c r="E15" s="1"/>
      <c r="F15" s="1"/>
      <c r="G15" s="1"/>
      <c r="H15" s="1"/>
    </row>
    <row r="16" spans="1:8" x14ac:dyDescent="0.45">
      <c r="A16" s="1"/>
      <c r="B16" s="1"/>
      <c r="C16" s="1"/>
      <c r="D16" s="1"/>
      <c r="E16" s="1"/>
      <c r="F16" s="1"/>
      <c r="G16" s="1"/>
      <c r="H16" s="1"/>
    </row>
    <row r="17" spans="1:8" x14ac:dyDescent="0.45">
      <c r="A17" s="1"/>
      <c r="B17" s="1"/>
      <c r="C17" s="1"/>
      <c r="D17" s="1"/>
      <c r="E17" s="1"/>
      <c r="F17" s="1"/>
      <c r="G17" s="1"/>
      <c r="H17" s="1"/>
    </row>
    <row r="18" spans="1:8" x14ac:dyDescent="0.45">
      <c r="A18" s="1"/>
      <c r="B18" s="1"/>
      <c r="C18" s="1"/>
      <c r="D18" s="1"/>
      <c r="E18" s="1"/>
      <c r="F18" s="1"/>
      <c r="G18" s="1"/>
      <c r="H18" s="1"/>
    </row>
    <row r="19" spans="1:8" x14ac:dyDescent="0.45">
      <c r="A19" s="1"/>
      <c r="B19" s="1"/>
      <c r="C19" s="1"/>
      <c r="D19" s="1"/>
      <c r="E19" s="1"/>
      <c r="F19" s="1"/>
      <c r="G19" s="1"/>
      <c r="H19" s="1"/>
    </row>
    <row r="20" spans="1:8" x14ac:dyDescent="0.45">
      <c r="A20" s="1"/>
      <c r="B20" s="1"/>
      <c r="C20" s="1"/>
      <c r="D20" s="1"/>
      <c r="E20" s="1"/>
      <c r="F20" s="1"/>
      <c r="G20" s="1"/>
      <c r="H20" s="1"/>
    </row>
    <row r="21" spans="1:8" x14ac:dyDescent="0.45">
      <c r="A21" s="1"/>
      <c r="B21" s="1"/>
      <c r="C21" s="1"/>
      <c r="D21" s="1"/>
      <c r="E21" s="1"/>
      <c r="F21" s="1"/>
      <c r="G21" s="1"/>
      <c r="H21" s="1"/>
    </row>
    <row r="22" spans="1:8" x14ac:dyDescent="0.45">
      <c r="A22" s="1"/>
      <c r="B22" s="1"/>
      <c r="C22" s="1"/>
      <c r="D22" s="1"/>
      <c r="E22" s="1"/>
      <c r="F22" s="1"/>
      <c r="G22" s="1"/>
      <c r="H22" s="1"/>
    </row>
    <row r="23" spans="1:8" x14ac:dyDescent="0.45">
      <c r="A23" s="1"/>
      <c r="B23" s="1"/>
      <c r="C23" s="1"/>
      <c r="D23" s="1"/>
      <c r="E23" s="1"/>
      <c r="F23" s="1"/>
      <c r="G23" s="1"/>
      <c r="H23" s="1"/>
    </row>
    <row r="24" spans="1:8" x14ac:dyDescent="0.45">
      <c r="A24" s="1"/>
      <c r="B24" s="1"/>
      <c r="C24" s="1"/>
      <c r="D24" s="1"/>
      <c r="E24" s="1"/>
      <c r="F24" s="1"/>
      <c r="G24" s="1"/>
      <c r="H24" s="1"/>
    </row>
    <row r="25" spans="1:8" x14ac:dyDescent="0.45">
      <c r="A25" s="1"/>
      <c r="B25" s="1"/>
      <c r="C25" s="1"/>
      <c r="D25" s="1"/>
      <c r="E25" s="1"/>
      <c r="F25" s="1"/>
      <c r="G25" s="1"/>
      <c r="H25" s="1"/>
    </row>
    <row r="26" spans="1:8" x14ac:dyDescent="0.45">
      <c r="A26" s="1"/>
      <c r="B26" s="1"/>
      <c r="C26" s="1"/>
      <c r="D26" s="1"/>
      <c r="E26" s="1"/>
      <c r="F26" s="1"/>
      <c r="G26" s="1"/>
      <c r="H26" s="1"/>
    </row>
    <row r="27" spans="1:8" x14ac:dyDescent="0.45">
      <c r="A27" s="1"/>
      <c r="B27" s="1"/>
      <c r="C27" s="1"/>
      <c r="D27" s="1"/>
      <c r="E27" s="1"/>
      <c r="F27" s="1"/>
      <c r="G27" s="1"/>
      <c r="H27" s="1"/>
    </row>
    <row r="28" spans="1:8" x14ac:dyDescent="0.45">
      <c r="A28" s="1"/>
      <c r="B28" s="1"/>
      <c r="C28" s="1"/>
      <c r="D28" s="1"/>
      <c r="E28" s="1"/>
      <c r="F28" s="1"/>
      <c r="G28" s="1"/>
      <c r="H28" s="1"/>
    </row>
    <row r="29" spans="1:8" x14ac:dyDescent="0.45">
      <c r="A29" s="1"/>
      <c r="B29" s="1"/>
      <c r="C29" s="1"/>
      <c r="D29" s="1"/>
      <c r="E29" s="1"/>
      <c r="F29" s="1"/>
      <c r="G29" s="1"/>
      <c r="H29" s="1"/>
    </row>
    <row r="30" spans="1:8" x14ac:dyDescent="0.45">
      <c r="A30" s="1"/>
      <c r="B30" s="1"/>
      <c r="C30" s="1"/>
      <c r="D30" s="1"/>
      <c r="E30" s="1"/>
      <c r="F30" s="1"/>
      <c r="G30" s="1"/>
      <c r="H30" s="1"/>
    </row>
  </sheetData>
  <mergeCells count="3">
    <mergeCell ref="A1:C1"/>
    <mergeCell ref="A3:C3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DASHBOARD</vt:lpstr>
      <vt:lpstr>TAREFAS</vt:lpstr>
      <vt:lpstr>BURNDOWN</vt:lpstr>
      <vt:lpstr>DASHBOARD!Area_de_impressao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FLAVIO RINALDI</cp:lastModifiedBy>
  <dcterms:created xsi:type="dcterms:W3CDTF">2026-07-22T20:17:03Z</dcterms:created>
  <dcterms:modified xsi:type="dcterms:W3CDTF">2026-08-04T00:50:07Z</dcterms:modified>
</cp:coreProperties>
</file>