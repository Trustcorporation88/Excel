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FAS" sheetId="2" state="visible" r:id="rId2"/>
    <sheet xmlns:r="http://schemas.openxmlformats.org/officeDocument/2006/relationships" name="BURNDOWN" sheetId="3" state="visible" r:id="rId3"/>
  </sheets>
  <definedNames>
    <definedName name="_xlnm.Print_Area" localSheetId="0">'DASHBOARD'!$A$1:$L$32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#,##0;(#,##0);&quot;—&quot;"/>
    <numFmt numFmtId="168" formatCode="#,##0.0;(#,##0.0);&quot;—&quot;"/>
  </numFmts>
  <fonts count="22">
    <font>
      <name val="Calibri"/>
      <family val="2"/>
      <color theme="1"/>
      <sz val="11"/>
      <scheme val="minor"/>
    </font>
    <font>
      <name val="Calibri"/>
      <b val="1"/>
      <color rgb="00C99C66"/>
      <sz val="8"/>
    </font>
    <font>
      <name val="Calibri"/>
      <b val="1"/>
      <color rgb="00F3ECDD"/>
      <sz val="22"/>
    </font>
    <font>
      <name val="Calibri"/>
      <i val="1"/>
      <color rgb="008A9691"/>
      <sz val="9"/>
    </font>
    <font>
      <name val="Calibri"/>
      <b val="1"/>
      <color rgb="00F3ECDD"/>
      <sz val="8"/>
    </font>
    <font>
      <name val="Calibri"/>
      <color rgb="00F3ECDD"/>
      <sz val="9"/>
    </font>
    <font>
      <name val="Calibri"/>
      <b val="1"/>
      <color rgb="008A9691"/>
      <sz val="7"/>
    </font>
    <font>
      <name val="Calibri"/>
      <b val="1"/>
      <color rgb="008A9691"/>
      <sz val="18"/>
    </font>
    <font>
      <name val="Calibri"/>
      <i val="1"/>
      <color rgb="008A9691"/>
      <sz val="7"/>
    </font>
    <font>
      <name val="Calibri"/>
      <b val="1"/>
      <color rgb="00C99C66"/>
      <sz val="18"/>
    </font>
    <font>
      <name val="Calibri"/>
      <b val="1"/>
      <color rgb="0043D07F"/>
      <sz val="18"/>
    </font>
    <font>
      <name val="Calibri"/>
      <b val="1"/>
      <color rgb="00E0A94B"/>
      <sz val="18"/>
    </font>
    <font>
      <name val="Calibri"/>
      <b val="1"/>
      <color rgb="00D9534F"/>
      <sz val="18"/>
    </font>
    <font>
      <name val="Calibri"/>
      <b val="1"/>
      <color rgb="00F3ECDD"/>
      <sz val="10"/>
    </font>
    <font>
      <name val="Calibri"/>
      <b val="1"/>
      <color rgb="00C99C66"/>
      <sz val="9"/>
    </font>
    <font>
      <name val="Calibri"/>
      <color rgb="00F3ECDD"/>
      <sz val="8"/>
    </font>
    <font>
      <name val="Calibri"/>
      <color rgb="008A9691"/>
      <sz val="8"/>
    </font>
    <font>
      <name val="Calibri"/>
      <color rgb="000B1210"/>
      <sz val="8"/>
    </font>
    <font>
      <name val="Calibri"/>
      <color rgb="008A9691"/>
      <sz val="7"/>
    </font>
    <font>
      <name val="Calibri"/>
      <color rgb="0043D07F"/>
      <sz val="10"/>
    </font>
    <font>
      <name val="Calibri"/>
      <color rgb="00C99C66"/>
      <sz val="8"/>
    </font>
    <font>
      <name val="Calibri"/>
      <color rgb="0043D07F"/>
      <sz val="7"/>
    </font>
  </fonts>
  <fills count="6">
    <fill>
      <patternFill/>
    </fill>
    <fill>
      <patternFill patternType="gray125"/>
    </fill>
    <fill>
      <patternFill patternType="solid">
        <fgColor rgb="000B1210"/>
      </patternFill>
    </fill>
    <fill>
      <patternFill patternType="solid">
        <fgColor rgb="00121C18"/>
      </patternFill>
    </fill>
    <fill>
      <patternFill patternType="solid">
        <fgColor rgb="00182620"/>
      </patternFill>
    </fill>
    <fill>
      <patternFill patternType="solid">
        <fgColor rgb="001E3028"/>
      </patternFill>
    </fill>
  </fills>
  <borders count="3">
    <border>
      <left/>
      <right/>
      <top/>
      <bottom/>
      <diagonal/>
    </border>
    <border>
      <left style="thin">
        <color rgb="002A3D34"/>
      </left>
      <right style="thin">
        <color rgb="002A3D34"/>
      </right>
      <top style="thin">
        <color rgb="002A3D34"/>
      </top>
      <bottom style="thin">
        <color rgb="002A3D34"/>
      </bottom>
    </border>
    <border>
      <left style="thin">
        <color rgb="002A3D34"/>
      </left>
      <right style="thin">
        <color rgb="002A3D34"/>
      </right>
      <top style="thin">
        <color rgb="00C99C66"/>
      </top>
      <bottom style="thin">
        <color rgb="002A3D34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6" fillId="4" borderId="2" applyAlignment="1" pivotButton="0" quotePrefix="0" xfId="0">
      <alignment horizontal="center" vertical="center"/>
    </xf>
    <xf numFmtId="0" fontId="0" fillId="4" borderId="2" pivotButton="0" quotePrefix="0" xfId="0"/>
    <xf numFmtId="1" fontId="7" fillId="5" borderId="1" applyAlignment="1" pivotButton="0" quotePrefix="0" xfId="0">
      <alignment horizontal="center" vertical="center"/>
    </xf>
    <xf numFmtId="0" fontId="0" fillId="5" borderId="1" pivotButton="0" quotePrefix="0" xfId="0"/>
    <xf numFmtId="1" fontId="9" fillId="5" borderId="1" applyAlignment="1" pivotButton="0" quotePrefix="0" xfId="0">
      <alignment horizontal="center" vertical="center"/>
    </xf>
    <xf numFmtId="1" fontId="10" fillId="5" borderId="1" applyAlignment="1" pivotButton="0" quotePrefix="0" xfId="0">
      <alignment horizontal="center" vertical="center"/>
    </xf>
    <xf numFmtId="166" fontId="11" fillId="5" borderId="1" applyAlignment="1" pivotButton="0" quotePrefix="0" xfId="0">
      <alignment horizontal="center" vertical="center"/>
    </xf>
    <xf numFmtId="1" fontId="12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13" fillId="4" borderId="1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2" borderId="1" pivotButton="0" quotePrefix="0" xfId="0"/>
    <xf numFmtId="167" fontId="16" fillId="2" borderId="1" pivotButton="0" quotePrefix="0" xfId="0"/>
    <xf numFmtId="167" fontId="1" fillId="2" borderId="1" pivotButton="0" quotePrefix="0" xfId="0"/>
    <xf numFmtId="168" fontId="14" fillId="2" borderId="1" pivotButton="0" quotePrefix="0" xfId="0"/>
    <xf numFmtId="1" fontId="18" fillId="2" borderId="1" pivotButton="0" quotePrefix="0" xfId="0"/>
    <xf numFmtId="168" fontId="20" fillId="2" borderId="1" pivotButton="0" quotePrefix="0" xfId="0"/>
    <xf numFmtId="0" fontId="21" fillId="2" borderId="1" applyAlignment="1" pivotButton="0" quotePrefix="0" xfId="0">
      <alignment horizontal="center" vertical="center"/>
    </xf>
    <xf numFmtId="0" fontId="18" fillId="2" borderId="1" pivotButton="0" quotePrefix="0" xfId="0"/>
    <xf numFmtId="0" fontId="21" fillId="2" borderId="1" pivotButton="0" quotePrefix="0" xfId="0"/>
    <xf numFmtId="0" fontId="5" fillId="2" borderId="1" pivotButton="0" quotePrefix="0" xfId="0"/>
    <xf numFmtId="165" fontId="5" fillId="2" borderId="1" pivotButton="0" quotePrefix="0" xfId="0"/>
    <xf numFmtId="0" fontId="5" fillId="2" borderId="0" pivotButton="0" quotePrefix="0" xfId="0"/>
  </cellXfs>
  <cellStyles count="1">
    <cellStyle name="Normal" xfId="0" builtinId="0" hidden="0"/>
  </cellStyles>
  <dxfs count="2">
    <dxf>
      <font>
        <name val="Calibri"/>
        <b val="1"/>
        <color rgb="0043D07F"/>
        <sz val="8"/>
      </font>
    </dxf>
    <dxf>
      <font>
        <name val="Calibri"/>
        <b val="1"/>
        <color rgb="00D9534F"/>
        <sz val="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Cascata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'DASHBOARD'!C12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'DASHBOARD'!$B$13:$B$16</f>
            </numRef>
          </cat>
          <val>
            <numRef>
              <f>'DASHBOARD'!$C$13:$C$16</f>
            </numRef>
          </val>
        </ser>
        <ser>
          <idx val="1"/>
          <order val="1"/>
          <tx>
            <strRef>
              <f>'DASHBOARD'!D12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'DASHBOARD'!$D$13:$D$16</f>
            </numRef>
          </val>
        </ser>
        <ser>
          <idx val="2"/>
          <order val="2"/>
          <tx>
            <strRef>
              <f>'DASHBOARD'!E12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'DASHBOARD'!$B$13:$B$16</f>
            </numRef>
          </cat>
          <val>
            <numRef>
              <f>'DASHBOARD'!$E$13:$E$16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'DASHBOARD'!S12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'DASHBOARD'!$R$12:$R$14</f>
            </numRef>
          </cat>
          <val>
            <numRef>
              <f>'DASHBOARD'!$S$13:$S$14</f>
            </numRef>
          </val>
        </ser>
        <firstSliceAng val="0"/>
      </pieChart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'DASHBOARD'!I26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'DASHBOARD'!$H$27:$H$33</f>
            </numRef>
          </cat>
          <val>
            <numRef>
              <f>'DASHBOARD'!$I$27:$I$33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spPr>
        <a:solidFill xmlns:a="http://schemas.openxmlformats.org/drawingml/2006/main">
          <a:srgbClr val="0E1713"/>
        </a:solidFill>
        <a:ln xmlns:a="http://schemas.openxmlformats.org/drawingml/2006/main">
          <a:prstDash val="solid"/>
        </a:ln>
      </spPr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2880000" cy="151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2340000" cy="18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24</row>
      <rowOff>0</rowOff>
    </from>
    <ext cx="1980000" cy="1007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8" customHeight="1">
      <c r="A2" s="3" t="inlineStr">
        <is>
          <t>Cockpit de Produtividade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4" customHeight="1">
      <c r="A3" s="4" t="inlineStr">
        <is>
          <t>Throughput · WIP · alertas de bloqueio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13" customHeight="1">
      <c r="A5" s="2" t="n"/>
      <c r="B5" s="5" t="inlineStr">
        <is>
          <t>BACKLOG</t>
        </is>
      </c>
      <c r="C5" s="6" t="n"/>
      <c r="D5" s="5" t="inlineStr">
        <is>
          <t>WIP (FAZENDO)</t>
        </is>
      </c>
      <c r="E5" s="6" t="n"/>
      <c r="F5" s="5" t="inlineStr">
        <is>
          <t>FEITAS</t>
        </is>
      </c>
      <c r="G5" s="6" t="n"/>
      <c r="H5" s="5" t="inlineStr">
        <is>
          <t>CYCLE TIME</t>
        </is>
      </c>
      <c r="I5" s="6" t="n"/>
      <c r="J5" s="5" t="inlineStr">
        <is>
          <t>EM ALERTA</t>
        </is>
      </c>
      <c r="K5" s="6" t="n"/>
      <c r="L5" s="2" t="n"/>
      <c r="M5" s="2" t="n"/>
      <c r="N5" s="2" t="n"/>
    </row>
    <row r="6" ht="28" customHeight="1">
      <c r="A6" s="2" t="n"/>
      <c r="B6" s="7">
        <f>Z40</f>
        <v/>
      </c>
      <c r="C6" s="8" t="n"/>
      <c r="D6" s="9">
        <f>Z41</f>
        <v/>
      </c>
      <c r="E6" s="8" t="n"/>
      <c r="F6" s="10">
        <f>Z42</f>
        <v/>
      </c>
      <c r="G6" s="8" t="n"/>
      <c r="H6" s="11">
        <f>Z43</f>
        <v/>
      </c>
      <c r="I6" s="8" t="n"/>
      <c r="J6" s="12">
        <f>Z45</f>
        <v/>
      </c>
      <c r="K6" s="8" t="n"/>
      <c r="L6" s="2" t="n"/>
      <c r="M6" s="2" t="n"/>
      <c r="N6" s="2" t="n"/>
    </row>
    <row r="7" ht="12" customHeight="1">
      <c r="A7" s="2" t="n"/>
      <c r="B7" s="13" t="inlineStr"/>
      <c r="C7" s="14" t="n"/>
      <c r="D7" s="13" t="inlineStr"/>
      <c r="E7" s="14" t="n"/>
      <c r="F7" s="13" t="inlineStr"/>
      <c r="G7" s="14" t="n"/>
      <c r="H7" s="13" t="inlineStr"/>
      <c r="I7" s="14" t="n"/>
      <c r="J7" s="13" t="inlineStr"/>
      <c r="K7" s="14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 ht="18" customHeight="1">
      <c r="A9" s="2" t="n"/>
      <c r="B9" s="15">
        <f>IF(Z41&gt;3,"🟠 WIP alto — termine antes de puxar mais.",IF(Z45&gt;0,"🔴 Há tarefas bloqueadas/envelhecidas — atue.","🟢 Fluxo contínuo saudável."))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16" t="inlineStr">
        <is>
          <t>CASCATA DE CARGA</t>
        </is>
      </c>
      <c r="C11" s="2" t="n"/>
      <c r="D11" s="2" t="n"/>
      <c r="E11" s="2" t="n"/>
      <c r="F11" s="16" t="inlineStr">
        <is>
          <t>STATUS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</row>
    <row r="12" ht="18" customHeight="1">
      <c r="A12" s="2" t="n"/>
      <c r="B12" s="17" t="inlineStr">
        <is>
          <t>Etapa</t>
        </is>
      </c>
      <c r="C12" s="17" t="inlineStr">
        <is>
          <t>Base</t>
        </is>
      </c>
      <c r="D12" s="17" t="inlineStr">
        <is>
          <t>Alta</t>
        </is>
      </c>
      <c r="E12" s="17" t="inlineStr">
        <is>
          <t>Baixa</t>
        </is>
      </c>
      <c r="F12" s="17" t="inlineStr">
        <is>
          <t>Total</t>
        </is>
      </c>
      <c r="G12" s="17" t="inlineStr">
        <is>
          <t>Δ</t>
        </is>
      </c>
      <c r="H12" s="2" t="n"/>
      <c r="I12" s="2" t="n"/>
      <c r="J12" s="2" t="n"/>
      <c r="K12" s="2" t="n"/>
      <c r="L12" s="2" t="n"/>
      <c r="M12" s="2" t="n"/>
      <c r="N12" s="2" t="n"/>
      <c r="R12" s="18" t="inlineStr">
        <is>
          <t>A fazer</t>
        </is>
      </c>
      <c r="S12" s="18">
        <f>COUNTIF(TAREFAS!D:D,R12)</f>
        <v/>
      </c>
    </row>
    <row r="13">
      <c r="A13" s="2" t="n"/>
      <c r="B13" s="19" t="inlineStr">
        <is>
          <t>A fazer</t>
        </is>
      </c>
      <c r="C13" s="20" t="n">
        <v>0</v>
      </c>
      <c r="D13" s="20">
        <f>IF(G13&gt;=0,G13,0)</f>
        <v/>
      </c>
      <c r="E13" s="20">
        <f>IF(G13&lt;0,-G13,0)</f>
        <v/>
      </c>
      <c r="F13" s="20">
        <f>G13</f>
        <v/>
      </c>
      <c r="G13" s="21">
        <f>$Z$40</f>
        <v/>
      </c>
      <c r="H13" s="2" t="n"/>
      <c r="I13" s="2" t="n"/>
      <c r="J13" s="2" t="n"/>
      <c r="K13" s="2" t="n"/>
      <c r="L13" s="2" t="n"/>
      <c r="M13" s="2" t="n"/>
      <c r="N13" s="2" t="n"/>
      <c r="R13" s="18" t="inlineStr">
        <is>
          <t>Fazendo</t>
        </is>
      </c>
      <c r="S13" s="18">
        <f>COUNTIF(TAREFAS!D:D,R13)</f>
        <v/>
      </c>
    </row>
    <row r="14">
      <c r="A14" s="2" t="n"/>
      <c r="B14" s="19" t="inlineStr">
        <is>
          <t>+ WIP</t>
        </is>
      </c>
      <c r="C14" s="20">
        <f>IF(G14&gt;=0,F13,F13+G14)</f>
        <v/>
      </c>
      <c r="D14" s="20">
        <f>IF(G14&gt;=0,G14,0)</f>
        <v/>
      </c>
      <c r="E14" s="20">
        <f>IF(G14&lt;0,-G14,0)</f>
        <v/>
      </c>
      <c r="F14" s="20">
        <f>F13+G14</f>
        <v/>
      </c>
      <c r="G14" s="21">
        <f>$Z$41</f>
        <v/>
      </c>
      <c r="H14" s="2" t="n"/>
      <c r="I14" s="2" t="n"/>
      <c r="J14" s="2" t="n"/>
      <c r="K14" s="2" t="n"/>
      <c r="L14" s="2" t="n"/>
      <c r="M14" s="2" t="n"/>
      <c r="N14" s="2" t="n"/>
      <c r="R14" s="18" t="inlineStr">
        <is>
          <t>Feito</t>
        </is>
      </c>
      <c r="S14" s="18">
        <f>COUNTIF(TAREFAS!D:D,R14)</f>
        <v/>
      </c>
    </row>
    <row r="15">
      <c r="A15" s="2" t="n"/>
      <c r="B15" s="19" t="inlineStr">
        <is>
          <t>− Feitas</t>
        </is>
      </c>
      <c r="C15" s="20">
        <f>IF(G15&gt;=0,F14,F14+G15)</f>
        <v/>
      </c>
      <c r="D15" s="20">
        <f>IF(G15&gt;=0,G15,0)</f>
        <v/>
      </c>
      <c r="E15" s="20">
        <f>IF(G15&lt;0,-G15,0)</f>
        <v/>
      </c>
      <c r="F15" s="20">
        <f>F14+G15</f>
        <v/>
      </c>
      <c r="G15" s="21">
        <f>-$Z$42</f>
        <v/>
      </c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19" t="inlineStr">
        <is>
          <t>Carga</t>
        </is>
      </c>
      <c r="C16" s="20" t="n">
        <v>0</v>
      </c>
      <c r="D16" s="20">
        <f>IF(G16&gt;=0,G16,0)</f>
        <v/>
      </c>
      <c r="E16" s="20">
        <f>IF(G16&lt;0,-G16,0)</f>
        <v/>
      </c>
      <c r="F16" s="20">
        <f>G16</f>
        <v/>
      </c>
      <c r="G16" s="21">
        <f>$Z$40+$Z$41-$Z$42</f>
        <v/>
      </c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16" t="inlineStr">
        <is>
          <t>MINI-SPARKLINES</t>
        </is>
      </c>
      <c r="C25" s="2" t="n"/>
      <c r="D25" s="2" t="n"/>
      <c r="E25" s="2" t="n"/>
      <c r="F25" s="2" t="n"/>
      <c r="G25" s="2" t="n"/>
      <c r="H25" s="16" t="inlineStr">
        <is>
          <t>SPARK BURNDOWN</t>
        </is>
      </c>
      <c r="I25" s="2" t="n"/>
      <c r="J25" s="2" t="n"/>
      <c r="K25" s="2" t="n"/>
      <c r="L25" s="2" t="n"/>
      <c r="M25" s="2" t="n"/>
      <c r="N25" s="2" t="n"/>
    </row>
    <row r="26" ht="18" customHeight="1">
      <c r="A26" s="2" t="n"/>
      <c r="B26" s="17" t="inlineStr">
        <is>
          <t>Indicador</t>
        </is>
      </c>
      <c r="C26" s="17" t="inlineStr">
        <is>
          <t>Atual</t>
        </is>
      </c>
      <c r="D26" s="17" t="inlineStr">
        <is>
          <t>S1</t>
        </is>
      </c>
      <c r="E26" s="17" t="inlineStr">
        <is>
          <t>S2</t>
        </is>
      </c>
      <c r="F26" s="17" t="inlineStr">
        <is>
          <t>S3</t>
        </is>
      </c>
      <c r="G26" s="17" t="inlineStr">
        <is>
          <t>S4</t>
        </is>
      </c>
      <c r="H26" s="17" t="inlineStr">
        <is>
          <t>Ponto</t>
        </is>
      </c>
      <c r="I26" s="17" t="inlineStr">
        <is>
          <t>Valor</t>
        </is>
      </c>
      <c r="J26" s="17" t="inlineStr">
        <is>
          <t>Spark</t>
        </is>
      </c>
      <c r="K26" s="2" t="n"/>
      <c r="L26" s="2" t="n"/>
      <c r="M26" s="2" t="n"/>
      <c r="N26" s="2" t="n"/>
    </row>
    <row r="27">
      <c r="A27" s="2" t="n"/>
      <c r="B27" s="19" t="inlineStr">
        <is>
          <t>WIP</t>
        </is>
      </c>
      <c r="C27" s="22">
        <f>$Z$41</f>
        <v/>
      </c>
      <c r="D27" s="23" t="n">
        <v>1</v>
      </c>
      <c r="E27" s="23" t="n">
        <v>2</v>
      </c>
      <c r="F27" s="23" t="n">
        <v>3</v>
      </c>
      <c r="G27" s="23" t="n">
        <v>4</v>
      </c>
      <c r="H27" s="23" t="inlineStr">
        <is>
          <t>D1</t>
        </is>
      </c>
      <c r="I27" s="24">
        <f>BURNDOWN!C6</f>
        <v/>
      </c>
      <c r="J27" s="25">
        <f>IF(OR(I27="",NOT(ISNUMBER(I27))),"",REPT("▬",MAX(1,ROUND((I27-(MIN(I27:I33)))/MAX(1E-9,(MAX(I27:I33))-(MIN(I27:I33)))*10,0))))</f>
        <v/>
      </c>
      <c r="K27" s="2" t="n"/>
      <c r="L27" s="2" t="n"/>
      <c r="M27" s="2" t="n"/>
      <c r="N27" s="2" t="n"/>
    </row>
    <row r="28">
      <c r="A28" s="2" t="n"/>
      <c r="B28" s="19" t="inlineStr">
        <is>
          <t>Cycle time</t>
        </is>
      </c>
      <c r="C28" s="22">
        <f>$Z$43</f>
        <v/>
      </c>
      <c r="D28" s="23" t="n">
        <v>8</v>
      </c>
      <c r="E28" s="23" t="n">
        <v>7</v>
      </c>
      <c r="F28" s="23" t="n">
        <v>6.5</v>
      </c>
      <c r="G28" s="23" t="n">
        <v>6</v>
      </c>
      <c r="H28" s="23" t="inlineStr">
        <is>
          <t>D2</t>
        </is>
      </c>
      <c r="I28" s="24">
        <f>BURNDOWN!C7</f>
        <v/>
      </c>
      <c r="J28" s="25">
        <f>IF(OR(I28="",NOT(ISNUMBER(I28))),"",REPT("▬",MAX(1,ROUND((I28-(MIN(I27:I33)))/MAX(1E-9,(MAX(I27:I33))-(MIN(I27:I33)))*10,0))))</f>
        <v/>
      </c>
      <c r="K28" s="2" t="n"/>
      <c r="L28" s="2" t="n"/>
      <c r="M28" s="2" t="n"/>
      <c r="N28" s="2" t="n"/>
    </row>
    <row r="29">
      <c r="A29" s="2" t="n"/>
      <c r="B29" s="19" t="inlineStr">
        <is>
          <t>Alertas</t>
        </is>
      </c>
      <c r="C29" s="22">
        <f>$Z$45</f>
        <v/>
      </c>
      <c r="D29" s="23" t="n">
        <v>5</v>
      </c>
      <c r="E29" s="23" t="n">
        <v>4</v>
      </c>
      <c r="F29" s="23" t="n">
        <v>3</v>
      </c>
      <c r="G29" s="23" t="n">
        <v>3</v>
      </c>
      <c r="H29" s="23" t="inlineStr">
        <is>
          <t>D3</t>
        </is>
      </c>
      <c r="I29" s="24">
        <f>BURNDOWN!C8</f>
        <v/>
      </c>
      <c r="J29" s="25">
        <f>IF(OR(I29="",NOT(ISNUMBER(I29))),"",REPT("▬",MAX(1,ROUND((I29-(MIN(I27:I33)))/MAX(1E-9,(MAX(I27:I33))-(MIN(I27:I33)))*10,0))))</f>
        <v/>
      </c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6" t="inlineStr">
        <is>
          <t>D4</t>
        </is>
      </c>
      <c r="I30" s="24">
        <f>BURNDOWN!C9</f>
        <v/>
      </c>
      <c r="J30" s="27">
        <f>IF(OR(I30="",NOT(ISNUMBER(I30))),"",REPT("▬",MAX(1,ROUND((I30-(MIN(I27:I33)))/MAX(1E-9,(MAX(I27:I33))-(MIN(I27:I33)))*10,0))))</f>
        <v/>
      </c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6" t="inlineStr">
        <is>
          <t>D5</t>
        </is>
      </c>
      <c r="I31" s="24">
        <f>BURNDOWN!C10</f>
        <v/>
      </c>
      <c r="J31" s="27">
        <f>IF(OR(I31="",NOT(ISNUMBER(I31))),"",REPT("▬",MAX(1,ROUND((I31-(MIN(I27:I33)))/MAX(1E-9,(MAX(I27:I33))-(MIN(I27:I33)))*10,0))))</f>
        <v/>
      </c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6" t="inlineStr">
        <is>
          <t>D6</t>
        </is>
      </c>
      <c r="I32" s="24">
        <f>BURNDOWN!C11</f>
        <v/>
      </c>
      <c r="J32" s="27">
        <f>IF(OR(I32="",NOT(ISNUMBER(I32))),"",REPT("▬",MAX(1,ROUND((I32-(MIN(I27:I33)))/MAX(1E-9,(MAX(I27:I33))-(MIN(I27:I33)))*10,0))))</f>
        <v/>
      </c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6" t="inlineStr">
        <is>
          <t>D7</t>
        </is>
      </c>
      <c r="I33" s="24">
        <f>BURNDOWN!C12</f>
        <v/>
      </c>
      <c r="J33" s="27">
        <f>IF(OR(I33="",NOT(ISNUMBER(I33))),"",REPT("▬",MAX(1,ROUND((I33-(MIN(I27:I33)))/MAX(1E-9,(MAX(I27:I33))-(MIN(I27:I33)))*10,0))))</f>
        <v/>
      </c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Z40">
        <f>COUNTIF(TAREFAS!D:D,"A fazer")</f>
        <v/>
      </c>
    </row>
    <row r="41">
      <c r="Z41">
        <f>COUNTIF(TAREFAS!D:D,"Fazendo")</f>
        <v/>
      </c>
    </row>
    <row r="42">
      <c r="Z42">
        <f>COUNTIF(TAREFAS!D:D,"Feito")</f>
        <v/>
      </c>
    </row>
    <row r="43">
      <c r="Z43">
        <f>IFERROR(AVERAGE(TAREFAS!G6:G156),0)</f>
        <v/>
      </c>
    </row>
    <row r="45">
      <c r="Z45">
        <f>SUMPRODUCT(--ISNUMBER(SEARCH("⚠",TAREFAS!I6:I156)))</f>
        <v/>
      </c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conditionalFormatting sqref="G13:G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C27:C29">
    <cfRule type="dataBar" priority="3">
      <dataBar>
        <cfvo type="min"/>
        <cfvo type="max"/>
        <color rgb="00C99C66"/>
      </dataBar>
    </cfRule>
  </conditionalFormatting>
  <printOptions horizontalCentered="1"/>
  <pageMargins left="0.25" right="0.25" top="0.3" bottom="0.3" header="0.1" footer="0.1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</cols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8" customHeight="1">
      <c r="A2" s="3" t="inlineStr">
        <is>
          <t>Tarefas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4" customHeight="1">
      <c r="A3" s="4" t="inlineStr">
        <is>
          <t>Fluxo, cycle time e alertas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8" customHeight="1">
      <c r="A5" s="17" t="inlineStr">
        <is>
          <t>Tarefa</t>
        </is>
      </c>
      <c r="B5" s="17" t="inlineStr">
        <is>
          <t>Responsável</t>
        </is>
      </c>
      <c r="C5" s="17" t="inlineStr">
        <is>
          <t>Prioridade</t>
        </is>
      </c>
      <c r="D5" s="17" t="inlineStr">
        <is>
          <t>Status</t>
        </is>
      </c>
      <c r="E5" s="17" t="inlineStr">
        <is>
          <t>Início</t>
        </is>
      </c>
      <c r="F5" s="17" t="inlineStr">
        <is>
          <t>Entrega</t>
        </is>
      </c>
      <c r="G5" s="17" t="inlineStr">
        <is>
          <t>Cycle (d)</t>
        </is>
      </c>
      <c r="H5" s="17" t="inlineStr">
        <is>
          <t>Idade (d)</t>
        </is>
      </c>
      <c r="I5" s="17" t="inlineStr">
        <is>
          <t>Alerta</t>
        </is>
      </c>
      <c r="J5" s="2" t="n"/>
      <c r="K5" s="2" t="n"/>
      <c r="L5" s="2" t="n"/>
    </row>
    <row r="6">
      <c r="A6" s="28" t="inlineStr">
        <is>
          <t>Proposta</t>
        </is>
      </c>
      <c r="B6" s="28" t="inlineStr">
        <is>
          <t>Flávio</t>
        </is>
      </c>
      <c r="C6" s="28" t="inlineStr">
        <is>
          <t>Alta</t>
        </is>
      </c>
      <c r="D6" s="28" t="inlineStr">
        <is>
          <t>Fazendo</t>
        </is>
      </c>
      <c r="E6" s="29" t="n">
        <v>46220</v>
      </c>
      <c r="F6" s="29" t="n"/>
      <c r="G6" s="28">
        <f>IF(AND(D6="Feito",E6&lt;&gt;"",F6&lt;&gt;""),F6-E6,"")</f>
        <v/>
      </c>
      <c r="H6" s="28">
        <f>IF(OR(D6="Feito",E6=""),"",TODAY()-E6)</f>
        <v/>
      </c>
      <c r="I6" s="28">
        <f>IF(D6="Feito","",IF(H6="","",IF(H6&gt;7,"⚠ atraso","")))</f>
        <v/>
      </c>
      <c r="J6" s="2" t="n"/>
      <c r="K6" s="2" t="n"/>
      <c r="L6" s="2" t="n"/>
    </row>
    <row r="7">
      <c r="A7" s="28" t="inlineStr">
        <is>
          <t>Relatório</t>
        </is>
      </c>
      <c r="B7" s="28" t="inlineStr">
        <is>
          <t>Ana</t>
        </is>
      </c>
      <c r="C7" s="28" t="inlineStr">
        <is>
          <t>Média</t>
        </is>
      </c>
      <c r="D7" s="28" t="inlineStr">
        <is>
          <t>A fazer</t>
        </is>
      </c>
      <c r="E7" s="29" t="n">
        <v>46223</v>
      </c>
      <c r="F7" s="29" t="n"/>
      <c r="G7" s="28">
        <f>IF(AND(D7="Feito",E7&lt;&gt;"",F7&lt;&gt;""),F7-E7,"")</f>
        <v/>
      </c>
      <c r="H7" s="28">
        <f>IF(OR(D7="Feito",E7=""),"",TODAY()-E7)</f>
        <v/>
      </c>
      <c r="I7" s="28">
        <f>IF(D7="Feito","",IF(H7="","",IF(H7&gt;7,"⚠ atraso","")))</f>
        <v/>
      </c>
      <c r="J7" s="2" t="n"/>
      <c r="K7" s="2" t="n"/>
      <c r="L7" s="2" t="n"/>
    </row>
    <row r="8">
      <c r="A8" s="28" t="inlineStr">
        <is>
          <t>Bugfix</t>
        </is>
      </c>
      <c r="B8" s="28" t="inlineStr">
        <is>
          <t>Dev</t>
        </is>
      </c>
      <c r="C8" s="28" t="inlineStr">
        <is>
          <t>Alta</t>
        </is>
      </c>
      <c r="D8" s="28" t="inlineStr">
        <is>
          <t>Feito</t>
        </is>
      </c>
      <c r="E8" s="29" t="n">
        <v>46217</v>
      </c>
      <c r="F8" s="29" t="n">
        <v>46223</v>
      </c>
      <c r="G8" s="28">
        <f>IF(AND(D8="Feito",E8&lt;&gt;"",F8&lt;&gt;""),F8-E8,"")</f>
        <v/>
      </c>
      <c r="H8" s="28">
        <f>IF(OR(D8="Feito",E8=""),"",TODAY()-E8)</f>
        <v/>
      </c>
      <c r="I8" s="28">
        <f>IF(D8="Feito","",IF(H8="","",IF(H8&gt;7,"⚠ atraso","")))</f>
        <v/>
      </c>
      <c r="J8" s="2" t="n"/>
      <c r="K8" s="2" t="n"/>
      <c r="L8" s="2" t="n"/>
    </row>
    <row r="9">
      <c r="A9" s="28" t="n"/>
      <c r="B9" s="28" t="n"/>
      <c r="C9" s="28" t="n"/>
      <c r="D9" s="28" t="n"/>
      <c r="E9" s="29" t="n"/>
      <c r="F9" s="29" t="n"/>
      <c r="G9" s="28">
        <f>IF(AND(D9="Feito",E9&lt;&gt;"",F9&lt;&gt;""),F9-E9,"")</f>
        <v/>
      </c>
      <c r="H9" s="28">
        <f>IF(OR(D9="Feito",E9=""),"",TODAY()-E9)</f>
        <v/>
      </c>
      <c r="I9" s="28">
        <f>IF(D9="Feito","",IF(H9="","",IF(H9&gt;7,"⚠ atraso","")))</f>
        <v/>
      </c>
      <c r="J9" s="2" t="n"/>
      <c r="K9" s="2" t="n"/>
      <c r="L9" s="2" t="n"/>
    </row>
    <row r="10">
      <c r="A10" s="28" t="n"/>
      <c r="B10" s="28" t="n"/>
      <c r="C10" s="28" t="n"/>
      <c r="D10" s="28" t="n"/>
      <c r="E10" s="29" t="n"/>
      <c r="F10" s="29" t="n"/>
      <c r="G10" s="28">
        <f>IF(AND(D10="Feito",E10&lt;&gt;"",F10&lt;&gt;""),F10-E10,"")</f>
        <v/>
      </c>
      <c r="H10" s="28">
        <f>IF(OR(D10="Feito",E10=""),"",TODAY()-E10)</f>
        <v/>
      </c>
      <c r="I10" s="28">
        <f>IF(D10="Feito","",IF(H10="","",IF(H10&gt;7,"⚠ atraso","")))</f>
        <v/>
      </c>
      <c r="J10" s="2" t="n"/>
      <c r="K10" s="2" t="n"/>
      <c r="L10" s="2" t="n"/>
    </row>
    <row r="11">
      <c r="A11" s="28" t="n"/>
      <c r="B11" s="28" t="n"/>
      <c r="C11" s="28" t="n"/>
      <c r="D11" s="28" t="n"/>
      <c r="E11" s="29" t="n"/>
      <c r="F11" s="29" t="n"/>
      <c r="G11" s="28">
        <f>IF(AND(D11="Feito",E11&lt;&gt;"",F11&lt;&gt;""),F11-E11,"")</f>
        <v/>
      </c>
      <c r="H11" s="28">
        <f>IF(OR(D11="Feito",E11=""),"",TODAY()-E11)</f>
        <v/>
      </c>
      <c r="I11" s="28">
        <f>IF(D11="Feito","",IF(H11="","",IF(H11&gt;7,"⚠ atraso","")))</f>
        <v/>
      </c>
      <c r="J11" s="2" t="n"/>
      <c r="K11" s="2" t="n"/>
      <c r="L11" s="2" t="n"/>
    </row>
    <row r="12">
      <c r="A12" s="28" t="n"/>
      <c r="B12" s="28" t="n"/>
      <c r="C12" s="28" t="n"/>
      <c r="D12" s="28" t="n"/>
      <c r="E12" s="29" t="n"/>
      <c r="F12" s="29" t="n"/>
      <c r="G12" s="28">
        <f>IF(AND(D12="Feito",E12&lt;&gt;"",F12&lt;&gt;""),F12-E12,"")</f>
        <v/>
      </c>
      <c r="H12" s="28">
        <f>IF(OR(D12="Feito",E12=""),"",TODAY()-E12)</f>
        <v/>
      </c>
      <c r="I12" s="28">
        <f>IF(D12="Feito","",IF(H12="","",IF(H12&gt;7,"⚠ atraso","")))</f>
        <v/>
      </c>
      <c r="J12" s="2" t="n"/>
      <c r="K12" s="2" t="n"/>
      <c r="L12" s="2" t="n"/>
    </row>
    <row r="13">
      <c r="A13" s="28" t="n"/>
      <c r="B13" s="28" t="n"/>
      <c r="C13" s="28" t="n"/>
      <c r="D13" s="28" t="n"/>
      <c r="E13" s="29" t="n"/>
      <c r="F13" s="29" t="n"/>
      <c r="G13" s="28">
        <f>IF(AND(D13="Feito",E13&lt;&gt;"",F13&lt;&gt;""),F13-E13,"")</f>
        <v/>
      </c>
      <c r="H13" s="28">
        <f>IF(OR(D13="Feito",E13=""),"",TODAY()-E13)</f>
        <v/>
      </c>
      <c r="I13" s="28">
        <f>IF(D13="Feito","",IF(H13="","",IF(H13&gt;7,"⚠ atraso","")))</f>
        <v/>
      </c>
      <c r="J13" s="2" t="n"/>
      <c r="K13" s="2" t="n"/>
      <c r="L13" s="2" t="n"/>
    </row>
    <row r="14">
      <c r="A14" s="28" t="n"/>
      <c r="B14" s="28" t="n"/>
      <c r="C14" s="28" t="n"/>
      <c r="D14" s="28" t="n"/>
      <c r="E14" s="29" t="n"/>
      <c r="F14" s="29" t="n"/>
      <c r="G14" s="28">
        <f>IF(AND(D14="Feito",E14&lt;&gt;"",F14&lt;&gt;""),F14-E14,"")</f>
        <v/>
      </c>
      <c r="H14" s="28">
        <f>IF(OR(D14="Feito",E14=""),"",TODAY()-E14)</f>
        <v/>
      </c>
      <c r="I14" s="28">
        <f>IF(D14="Feito","",IF(H14="","",IF(H14&gt;7,"⚠ atraso","")))</f>
        <v/>
      </c>
      <c r="J14" s="2" t="n"/>
      <c r="K14" s="2" t="n"/>
      <c r="L14" s="2" t="n"/>
    </row>
    <row r="15">
      <c r="A15" s="28" t="n"/>
      <c r="B15" s="28" t="n"/>
      <c r="C15" s="28" t="n"/>
      <c r="D15" s="28" t="n"/>
      <c r="E15" s="29" t="n"/>
      <c r="F15" s="29" t="n"/>
      <c r="G15" s="28">
        <f>IF(AND(D15="Feito",E15&lt;&gt;"",F15&lt;&gt;""),F15-E15,"")</f>
        <v/>
      </c>
      <c r="H15" s="28">
        <f>IF(OR(D15="Feito",E15=""),"",TODAY()-E15)</f>
        <v/>
      </c>
      <c r="I15" s="28">
        <f>IF(D15="Feito","",IF(H15="","",IF(H15&gt;7,"⚠ atraso","")))</f>
        <v/>
      </c>
      <c r="J15" s="2" t="n"/>
      <c r="K15" s="2" t="n"/>
      <c r="L15" s="2" t="n"/>
    </row>
    <row r="16">
      <c r="A16" s="28" t="n"/>
      <c r="B16" s="28" t="n"/>
      <c r="C16" s="28" t="n"/>
      <c r="D16" s="28" t="n"/>
      <c r="E16" s="29" t="n"/>
      <c r="F16" s="29" t="n"/>
      <c r="G16" s="28">
        <f>IF(AND(D16="Feito",E16&lt;&gt;"",F16&lt;&gt;""),F16-E16,"")</f>
        <v/>
      </c>
      <c r="H16" s="28">
        <f>IF(OR(D16="Feito",E16=""),"",TODAY()-E16)</f>
        <v/>
      </c>
      <c r="I16" s="28">
        <f>IF(D16="Feito","",IF(H16="","",IF(H16&gt;7,"⚠ atraso","")))</f>
        <v/>
      </c>
      <c r="J16" s="2" t="n"/>
      <c r="K16" s="2" t="n"/>
      <c r="L16" s="2" t="n"/>
    </row>
    <row r="17">
      <c r="A17" s="28" t="n"/>
      <c r="B17" s="28" t="n"/>
      <c r="C17" s="28" t="n"/>
      <c r="D17" s="28" t="n"/>
      <c r="E17" s="29" t="n"/>
      <c r="F17" s="29" t="n"/>
      <c r="G17" s="28">
        <f>IF(AND(D17="Feito",E17&lt;&gt;"",F17&lt;&gt;""),F17-E17,"")</f>
        <v/>
      </c>
      <c r="H17" s="28">
        <f>IF(OR(D17="Feito",E17=""),"",TODAY()-E17)</f>
        <v/>
      </c>
      <c r="I17" s="28">
        <f>IF(D17="Feito","",IF(H17="","",IF(H17&gt;7,"⚠ atraso","")))</f>
        <v/>
      </c>
      <c r="J17" s="2" t="n"/>
      <c r="K17" s="2" t="n"/>
      <c r="L17" s="2" t="n"/>
    </row>
    <row r="18">
      <c r="A18" s="28" t="n"/>
      <c r="B18" s="28" t="n"/>
      <c r="C18" s="28" t="n"/>
      <c r="D18" s="28" t="n"/>
      <c r="E18" s="29" t="n"/>
      <c r="F18" s="29" t="n"/>
      <c r="G18" s="28">
        <f>IF(AND(D18="Feito",E18&lt;&gt;"",F18&lt;&gt;""),F18-E18,"")</f>
        <v/>
      </c>
      <c r="H18" s="28">
        <f>IF(OR(D18="Feito",E18=""),"",TODAY()-E18)</f>
        <v/>
      </c>
      <c r="I18" s="28">
        <f>IF(D18="Feito","",IF(H18="","",IF(H18&gt;7,"⚠ atraso","")))</f>
        <v/>
      </c>
      <c r="J18" s="2" t="n"/>
      <c r="K18" s="2" t="n"/>
      <c r="L18" s="2" t="n"/>
    </row>
    <row r="19">
      <c r="A19" s="28" t="n"/>
      <c r="B19" s="28" t="n"/>
      <c r="C19" s="28" t="n"/>
      <c r="D19" s="28" t="n"/>
      <c r="E19" s="29" t="n"/>
      <c r="F19" s="29" t="n"/>
      <c r="G19" s="28">
        <f>IF(AND(D19="Feito",E19&lt;&gt;"",F19&lt;&gt;""),F19-E19,"")</f>
        <v/>
      </c>
      <c r="H19" s="28">
        <f>IF(OR(D19="Feito",E19=""),"",TODAY()-E19)</f>
        <v/>
      </c>
      <c r="I19" s="28">
        <f>IF(D19="Feito","",IF(H19="","",IF(H19&gt;7,"⚠ atraso","")))</f>
        <v/>
      </c>
      <c r="J19" s="2" t="n"/>
      <c r="K19" s="2" t="n"/>
      <c r="L19" s="2" t="n"/>
    </row>
    <row r="20">
      <c r="A20" s="28" t="n"/>
      <c r="B20" s="28" t="n"/>
      <c r="C20" s="28" t="n"/>
      <c r="D20" s="28" t="n"/>
      <c r="E20" s="29" t="n"/>
      <c r="F20" s="29" t="n"/>
      <c r="G20" s="28">
        <f>IF(AND(D20="Feito",E20&lt;&gt;"",F20&lt;&gt;""),F20-E20,"")</f>
        <v/>
      </c>
      <c r="H20" s="28">
        <f>IF(OR(D20="Feito",E20=""),"",TODAY()-E20)</f>
        <v/>
      </c>
      <c r="I20" s="28">
        <f>IF(D20="Feito","",IF(H20="","",IF(H20&gt;7,"⚠ atraso","")))</f>
        <v/>
      </c>
      <c r="J20" s="2" t="n"/>
      <c r="K20" s="2" t="n"/>
      <c r="L20" s="2" t="n"/>
    </row>
    <row r="21">
      <c r="A21" s="28" t="n"/>
      <c r="B21" s="28" t="n"/>
      <c r="C21" s="28" t="n"/>
      <c r="D21" s="28" t="n"/>
      <c r="E21" s="29" t="n"/>
      <c r="F21" s="29" t="n"/>
      <c r="G21" s="28">
        <f>IF(AND(D21="Feito",E21&lt;&gt;"",F21&lt;&gt;""),F21-E21,"")</f>
        <v/>
      </c>
      <c r="H21" s="28">
        <f>IF(OR(D21="Feito",E21=""),"",TODAY()-E21)</f>
        <v/>
      </c>
      <c r="I21" s="28">
        <f>IF(D21="Feito","",IF(H21="","",IF(H21&gt;7,"⚠ atraso","")))</f>
        <v/>
      </c>
      <c r="J21" s="2" t="n"/>
      <c r="K21" s="2" t="n"/>
      <c r="L21" s="2" t="n"/>
    </row>
    <row r="22">
      <c r="A22" s="28" t="n"/>
      <c r="B22" s="28" t="n"/>
      <c r="C22" s="28" t="n"/>
      <c r="D22" s="28" t="n"/>
      <c r="E22" s="29" t="n"/>
      <c r="F22" s="29" t="n"/>
      <c r="G22" s="28">
        <f>IF(AND(D22="Feito",E22&lt;&gt;"",F22&lt;&gt;""),F22-E22,"")</f>
        <v/>
      </c>
      <c r="H22" s="28">
        <f>IF(OR(D22="Feito",E22=""),"",TODAY()-E22)</f>
        <v/>
      </c>
      <c r="I22" s="28">
        <f>IF(D22="Feito","",IF(H22="","",IF(H22&gt;7,"⚠ atraso","")))</f>
        <v/>
      </c>
      <c r="J22" s="2" t="n"/>
      <c r="K22" s="2" t="n"/>
      <c r="L22" s="2" t="n"/>
    </row>
    <row r="23">
      <c r="A23" s="28" t="n"/>
      <c r="B23" s="28" t="n"/>
      <c r="C23" s="28" t="n"/>
      <c r="D23" s="28" t="n"/>
      <c r="E23" s="29" t="n"/>
      <c r="F23" s="29" t="n"/>
      <c r="G23" s="28">
        <f>IF(AND(D23="Feito",E23&lt;&gt;"",F23&lt;&gt;""),F23-E23,"")</f>
        <v/>
      </c>
      <c r="H23" s="28">
        <f>IF(OR(D23="Feito",E23=""),"",TODAY()-E23)</f>
        <v/>
      </c>
      <c r="I23" s="28">
        <f>IF(D23="Feito","",IF(H23="","",IF(H23&gt;7,"⚠ atraso","")))</f>
        <v/>
      </c>
      <c r="J23" s="2" t="n"/>
      <c r="K23" s="2" t="n"/>
      <c r="L23" s="2" t="n"/>
    </row>
    <row r="24">
      <c r="A24" s="28" t="n"/>
      <c r="B24" s="28" t="n"/>
      <c r="C24" s="28" t="n"/>
      <c r="D24" s="28" t="n"/>
      <c r="E24" s="29" t="n"/>
      <c r="F24" s="29" t="n"/>
      <c r="G24" s="28">
        <f>IF(AND(D24="Feito",E24&lt;&gt;"",F24&lt;&gt;""),F24-E24,"")</f>
        <v/>
      </c>
      <c r="H24" s="28">
        <f>IF(OR(D24="Feito",E24=""),"",TODAY()-E24)</f>
        <v/>
      </c>
      <c r="I24" s="28">
        <f>IF(D24="Feito","",IF(H24="","",IF(H24&gt;7,"⚠ atraso","")))</f>
        <v/>
      </c>
      <c r="J24" s="2" t="n"/>
      <c r="K24" s="2" t="n"/>
      <c r="L24" s="2" t="n"/>
    </row>
    <row r="25">
      <c r="A25" s="28" t="n"/>
      <c r="B25" s="28" t="n"/>
      <c r="C25" s="28" t="n"/>
      <c r="D25" s="28" t="n"/>
      <c r="E25" s="29" t="n"/>
      <c r="F25" s="29" t="n"/>
      <c r="G25" s="28">
        <f>IF(AND(D25="Feito",E25&lt;&gt;"",F25&lt;&gt;""),F25-E25,"")</f>
        <v/>
      </c>
      <c r="H25" s="28">
        <f>IF(OR(D25="Feito",E25=""),"",TODAY()-E25)</f>
        <v/>
      </c>
      <c r="I25" s="28">
        <f>IF(D25="Feito","",IF(H25="","",IF(H25&gt;7,"⚠ atraso","")))</f>
        <v/>
      </c>
      <c r="J25" s="2" t="n"/>
      <c r="K25" s="2" t="n"/>
      <c r="L25" s="2" t="n"/>
    </row>
    <row r="26">
      <c r="A26" s="28" t="n"/>
      <c r="B26" s="28" t="n"/>
      <c r="C26" s="28" t="n"/>
      <c r="D26" s="28" t="n"/>
      <c r="E26" s="29" t="n"/>
      <c r="F26" s="29" t="n"/>
      <c r="G26" s="28">
        <f>IF(AND(D26="Feito",E26&lt;&gt;"",F26&lt;&gt;""),F26-E26,"")</f>
        <v/>
      </c>
      <c r="H26" s="28">
        <f>IF(OR(D26="Feito",E26=""),"",TODAY()-E26)</f>
        <v/>
      </c>
      <c r="I26" s="28">
        <f>IF(D26="Feito","",IF(H26="","",IF(H26&gt;7,"⚠ atraso","")))</f>
        <v/>
      </c>
      <c r="J26" s="2" t="n"/>
      <c r="K26" s="2" t="n"/>
      <c r="L26" s="2" t="n"/>
    </row>
    <row r="27">
      <c r="A27" s="28" t="n"/>
      <c r="B27" s="28" t="n"/>
      <c r="C27" s="28" t="n"/>
      <c r="D27" s="28" t="n"/>
      <c r="E27" s="29" t="n"/>
      <c r="F27" s="29" t="n"/>
      <c r="G27" s="28">
        <f>IF(AND(D27="Feito",E27&lt;&gt;"",F27&lt;&gt;""),F27-E27,"")</f>
        <v/>
      </c>
      <c r="H27" s="28">
        <f>IF(OR(D27="Feito",E27=""),"",TODAY()-E27)</f>
        <v/>
      </c>
      <c r="I27" s="28">
        <f>IF(D27="Feito","",IF(H27="","",IF(H27&gt;7,"⚠ atraso","")))</f>
        <v/>
      </c>
      <c r="J27" s="2" t="n"/>
      <c r="K27" s="2" t="n"/>
      <c r="L27" s="2" t="n"/>
    </row>
    <row r="28">
      <c r="A28" s="28" t="n"/>
      <c r="B28" s="28" t="n"/>
      <c r="C28" s="28" t="n"/>
      <c r="D28" s="28" t="n"/>
      <c r="E28" s="29" t="n"/>
      <c r="F28" s="29" t="n"/>
      <c r="G28" s="28">
        <f>IF(AND(D28="Feito",E28&lt;&gt;"",F28&lt;&gt;""),F28-E28,"")</f>
        <v/>
      </c>
      <c r="H28" s="28">
        <f>IF(OR(D28="Feito",E28=""),"",TODAY()-E28)</f>
        <v/>
      </c>
      <c r="I28" s="28">
        <f>IF(D28="Feito","",IF(H28="","",IF(H28&gt;7,"⚠ atraso","")))</f>
        <v/>
      </c>
      <c r="J28" s="2" t="n"/>
      <c r="K28" s="2" t="n"/>
      <c r="L28" s="2" t="n"/>
    </row>
    <row r="29">
      <c r="A29" s="28" t="n"/>
      <c r="B29" s="28" t="n"/>
      <c r="C29" s="28" t="n"/>
      <c r="D29" s="28" t="n"/>
      <c r="E29" s="29" t="n"/>
      <c r="F29" s="29" t="n"/>
      <c r="G29" s="28">
        <f>IF(AND(D29="Feito",E29&lt;&gt;"",F29&lt;&gt;""),F29-E29,"")</f>
        <v/>
      </c>
      <c r="H29" s="28">
        <f>IF(OR(D29="Feito",E29=""),"",TODAY()-E29)</f>
        <v/>
      </c>
      <c r="I29" s="28">
        <f>IF(D29="Feito","",IF(H29="","",IF(H29&gt;7,"⚠ atraso","")))</f>
        <v/>
      </c>
      <c r="J29" s="2" t="n"/>
      <c r="K29" s="2" t="n"/>
      <c r="L29" s="2" t="n"/>
    </row>
    <row r="30">
      <c r="A30" s="28" t="n"/>
      <c r="B30" s="28" t="n"/>
      <c r="C30" s="28" t="n"/>
      <c r="D30" s="28" t="n"/>
      <c r="E30" s="29" t="n"/>
      <c r="F30" s="29" t="n"/>
      <c r="G30" s="28">
        <f>IF(AND(D30="Feito",E30&lt;&gt;"",F30&lt;&gt;""),F30-E30,"")</f>
        <v/>
      </c>
      <c r="H30" s="28">
        <f>IF(OR(D30="Feito",E30=""),"",TODAY()-E30)</f>
        <v/>
      </c>
      <c r="I30" s="28">
        <f>IF(D30="Feito","",IF(H30="","",IF(H30&gt;7,"⚠ atraso","")))</f>
        <v/>
      </c>
      <c r="J30" s="2" t="n"/>
      <c r="K30" s="2" t="n"/>
      <c r="L30" s="2" t="n"/>
    </row>
    <row r="31">
      <c r="A31" s="28" t="n"/>
      <c r="B31" s="28" t="n"/>
      <c r="C31" s="28" t="n"/>
      <c r="D31" s="28" t="n"/>
      <c r="E31" s="29" t="n"/>
      <c r="F31" s="29" t="n"/>
      <c r="G31" s="28">
        <f>IF(AND(D31="Feito",E31&lt;&gt;"",F31&lt;&gt;""),F31-E31,"")</f>
        <v/>
      </c>
      <c r="H31" s="28">
        <f>IF(OR(D31="Feito",E31=""),"",TODAY()-E31)</f>
        <v/>
      </c>
      <c r="I31" s="28">
        <f>IF(D31="Feito","",IF(H31="","",IF(H31&gt;7,"⚠ atraso","")))</f>
        <v/>
      </c>
      <c r="J31" s="2" t="n"/>
      <c r="K31" s="2" t="n"/>
      <c r="L31" s="2" t="n"/>
    </row>
    <row r="32">
      <c r="A32" s="28" t="n"/>
      <c r="B32" s="28" t="n"/>
      <c r="C32" s="28" t="n"/>
      <c r="D32" s="28" t="n"/>
      <c r="E32" s="29" t="n"/>
      <c r="F32" s="29" t="n"/>
      <c r="G32" s="28">
        <f>IF(AND(D32="Feito",E32&lt;&gt;"",F32&lt;&gt;""),F32-E32,"")</f>
        <v/>
      </c>
      <c r="H32" s="28">
        <f>IF(OR(D32="Feito",E32=""),"",TODAY()-E32)</f>
        <v/>
      </c>
      <c r="I32" s="28">
        <f>IF(D32="Feito","",IF(H32="","",IF(H32&gt;7,"⚠ atraso","")))</f>
        <v/>
      </c>
      <c r="J32" s="2" t="n"/>
      <c r="K32" s="2" t="n"/>
      <c r="L32" s="2" t="n"/>
    </row>
    <row r="33">
      <c r="A33" s="28" t="n"/>
      <c r="B33" s="28" t="n"/>
      <c r="C33" s="28" t="n"/>
      <c r="D33" s="28" t="n"/>
      <c r="E33" s="29" t="n"/>
      <c r="F33" s="29" t="n"/>
      <c r="G33" s="28">
        <f>IF(AND(D33="Feito",E33&lt;&gt;"",F33&lt;&gt;""),F33-E33,"")</f>
        <v/>
      </c>
      <c r="H33" s="28">
        <f>IF(OR(D33="Feito",E33=""),"",TODAY()-E33)</f>
        <v/>
      </c>
      <c r="I33" s="28">
        <f>IF(D33="Feito","",IF(H33="","",IF(H33&gt;7,"⚠ atraso","")))</f>
        <v/>
      </c>
      <c r="J33" s="2" t="n"/>
      <c r="K33" s="2" t="n"/>
      <c r="L33" s="2" t="n"/>
    </row>
    <row r="34">
      <c r="A34" s="28" t="n"/>
      <c r="B34" s="28" t="n"/>
      <c r="C34" s="28" t="n"/>
      <c r="D34" s="28" t="n"/>
      <c r="E34" s="29" t="n"/>
      <c r="F34" s="29" t="n"/>
      <c r="G34" s="28">
        <f>IF(AND(D34="Feito",E34&lt;&gt;"",F34&lt;&gt;""),F34-E34,"")</f>
        <v/>
      </c>
      <c r="H34" s="28">
        <f>IF(OR(D34="Feito",E34=""),"",TODAY()-E34)</f>
        <v/>
      </c>
      <c r="I34" s="28">
        <f>IF(D34="Feito","",IF(H34="","",IF(H34&gt;7,"⚠ atraso","")))</f>
        <v/>
      </c>
      <c r="J34" s="2" t="n"/>
      <c r="K34" s="2" t="n"/>
      <c r="L34" s="2" t="n"/>
    </row>
    <row r="35">
      <c r="A35" s="28" t="n"/>
      <c r="B35" s="28" t="n"/>
      <c r="C35" s="28" t="n"/>
      <c r="D35" s="28" t="n"/>
      <c r="E35" s="29" t="n"/>
      <c r="F35" s="29" t="n"/>
      <c r="G35" s="28">
        <f>IF(AND(D35="Feito",E35&lt;&gt;"",F35&lt;&gt;""),F35-E35,"")</f>
        <v/>
      </c>
      <c r="H35" s="28">
        <f>IF(OR(D35="Feito",E35=""),"",TODAY()-E35)</f>
        <v/>
      </c>
      <c r="I35" s="28">
        <f>IF(D35="Feito","",IF(H35="","",IF(H35&gt;7,"⚠ atraso","")))</f>
        <v/>
      </c>
      <c r="J35" s="2" t="n"/>
      <c r="K35" s="2" t="n"/>
      <c r="L35" s="2" t="n"/>
    </row>
    <row r="36">
      <c r="A36" s="28" t="n"/>
      <c r="B36" s="28" t="n"/>
      <c r="C36" s="28" t="n"/>
      <c r="D36" s="28" t="n"/>
      <c r="E36" s="29" t="n"/>
      <c r="F36" s="29" t="n"/>
      <c r="G36" s="28">
        <f>IF(AND(D36="Feito",E36&lt;&gt;"",F36&lt;&gt;""),F36-E36,"")</f>
        <v/>
      </c>
      <c r="H36" s="28">
        <f>IF(OR(D36="Feito",E36=""),"",TODAY()-E36)</f>
        <v/>
      </c>
      <c r="I36" s="28">
        <f>IF(D36="Feito","",IF(H36="","",IF(H36&gt;7,"⚠ atraso","")))</f>
        <v/>
      </c>
      <c r="J36" s="2" t="n"/>
      <c r="K36" s="2" t="n"/>
      <c r="L36" s="2" t="n"/>
    </row>
    <row r="37">
      <c r="A37" s="28" t="n"/>
      <c r="B37" s="28" t="n"/>
      <c r="C37" s="28" t="n"/>
      <c r="D37" s="28" t="n"/>
      <c r="E37" s="29" t="n"/>
      <c r="F37" s="29" t="n"/>
      <c r="G37" s="28">
        <f>IF(AND(D37="Feito",E37&lt;&gt;"",F37&lt;&gt;""),F37-E37,"")</f>
        <v/>
      </c>
      <c r="H37" s="28">
        <f>IF(OR(D37="Feito",E37=""),"",TODAY()-E37)</f>
        <v/>
      </c>
      <c r="I37" s="28">
        <f>IF(D37="Feito","",IF(H37="","",IF(H37&gt;7,"⚠ atraso","")))</f>
        <v/>
      </c>
      <c r="J37" s="2" t="n"/>
      <c r="K37" s="2" t="n"/>
      <c r="L37" s="2" t="n"/>
    </row>
    <row r="38">
      <c r="A38" s="28" t="n"/>
      <c r="B38" s="28" t="n"/>
      <c r="C38" s="28" t="n"/>
      <c r="D38" s="28" t="n"/>
      <c r="E38" s="29" t="n"/>
      <c r="F38" s="29" t="n"/>
      <c r="G38" s="28">
        <f>IF(AND(D38="Feito",E38&lt;&gt;"",F38&lt;&gt;""),F38-E38,"")</f>
        <v/>
      </c>
      <c r="H38" s="28">
        <f>IF(OR(D38="Feito",E38=""),"",TODAY()-E38)</f>
        <v/>
      </c>
      <c r="I38" s="28">
        <f>IF(D38="Feito","",IF(H38="","",IF(H38&gt;7,"⚠ atraso","")))</f>
        <v/>
      </c>
      <c r="J38" s="2" t="n"/>
      <c r="K38" s="2" t="n"/>
      <c r="L38" s="2" t="n"/>
    </row>
    <row r="39">
      <c r="A39" s="28" t="n"/>
      <c r="B39" s="28" t="n"/>
      <c r="C39" s="28" t="n"/>
      <c r="D39" s="28" t="n"/>
      <c r="E39" s="29" t="n"/>
      <c r="F39" s="29" t="n"/>
      <c r="G39" s="28">
        <f>IF(AND(D39="Feito",E39&lt;&gt;"",F39&lt;&gt;""),F39-E39,"")</f>
        <v/>
      </c>
      <c r="H39" s="28">
        <f>IF(OR(D39="Feito",E39=""),"",TODAY()-E39)</f>
        <v/>
      </c>
      <c r="I39" s="28">
        <f>IF(D39="Feito","",IF(H39="","",IF(H39&gt;7,"⚠ atraso","")))</f>
        <v/>
      </c>
      <c r="J39" s="2" t="n"/>
      <c r="K39" s="2" t="n"/>
      <c r="L39" s="2" t="n"/>
    </row>
    <row r="40">
      <c r="A40" s="28" t="n"/>
      <c r="B40" s="28" t="n"/>
      <c r="C40" s="28" t="n"/>
      <c r="D40" s="28" t="n"/>
      <c r="E40" s="29" t="n"/>
      <c r="F40" s="29" t="n"/>
      <c r="G40" s="28">
        <f>IF(AND(D40="Feito",E40&lt;&gt;"",F40&lt;&gt;""),F40-E40,"")</f>
        <v/>
      </c>
      <c r="H40" s="28">
        <f>IF(OR(D40="Feito",E40=""),"",TODAY()-E40)</f>
        <v/>
      </c>
      <c r="I40" s="28">
        <f>IF(D40="Feito","",IF(H40="","",IF(H40&gt;7,"⚠ atraso","")))</f>
        <v/>
      </c>
      <c r="J40" s="2" t="n"/>
      <c r="K40" s="2" t="n"/>
      <c r="L40" s="2" t="n"/>
    </row>
    <row r="41">
      <c r="A41" s="28" t="n"/>
      <c r="B41" s="28" t="n"/>
      <c r="C41" s="28" t="n"/>
      <c r="D41" s="28" t="n"/>
      <c r="E41" s="29" t="n"/>
      <c r="F41" s="29" t="n"/>
      <c r="G41" s="28">
        <f>IF(AND(D41="Feito",E41&lt;&gt;"",F41&lt;&gt;""),F41-E41,"")</f>
        <v/>
      </c>
      <c r="H41" s="28">
        <f>IF(OR(D41="Feito",E41=""),"",TODAY()-E41)</f>
        <v/>
      </c>
      <c r="I41" s="28">
        <f>IF(D41="Feito","",IF(H41="","",IF(H41&gt;7,"⚠ atraso","")))</f>
        <v/>
      </c>
      <c r="J41" s="2" t="n"/>
      <c r="K41" s="2" t="n"/>
      <c r="L41" s="2" t="n"/>
    </row>
    <row r="42">
      <c r="A42" s="28" t="n"/>
      <c r="B42" s="28" t="n"/>
      <c r="C42" s="28" t="n"/>
      <c r="D42" s="28" t="n"/>
      <c r="E42" s="29" t="n"/>
      <c r="F42" s="29" t="n"/>
      <c r="G42" s="28">
        <f>IF(AND(D42="Feito",E42&lt;&gt;"",F42&lt;&gt;""),F42-E42,"")</f>
        <v/>
      </c>
      <c r="H42" s="28">
        <f>IF(OR(D42="Feito",E42=""),"",TODAY()-E42)</f>
        <v/>
      </c>
      <c r="I42" s="28">
        <f>IF(D42="Feito","",IF(H42="","",IF(H42&gt;7,"⚠ atraso","")))</f>
        <v/>
      </c>
      <c r="J42" s="2" t="n"/>
      <c r="K42" s="2" t="n"/>
      <c r="L42" s="2" t="n"/>
    </row>
    <row r="43">
      <c r="A43" s="28" t="n"/>
      <c r="B43" s="28" t="n"/>
      <c r="C43" s="28" t="n"/>
      <c r="D43" s="28" t="n"/>
      <c r="E43" s="29" t="n"/>
      <c r="F43" s="29" t="n"/>
      <c r="G43" s="28">
        <f>IF(AND(D43="Feito",E43&lt;&gt;"",F43&lt;&gt;""),F43-E43,"")</f>
        <v/>
      </c>
      <c r="H43" s="28">
        <f>IF(OR(D43="Feito",E43=""),"",TODAY()-E43)</f>
        <v/>
      </c>
      <c r="I43" s="28">
        <f>IF(D43="Feito","",IF(H43="","",IF(H43&gt;7,"⚠ atraso","")))</f>
        <v/>
      </c>
      <c r="J43" s="2" t="n"/>
      <c r="K43" s="2" t="n"/>
      <c r="L43" s="2" t="n"/>
    </row>
    <row r="44">
      <c r="A44" s="28" t="n"/>
      <c r="B44" s="28" t="n"/>
      <c r="C44" s="28" t="n"/>
      <c r="D44" s="28" t="n"/>
      <c r="E44" s="29" t="n"/>
      <c r="F44" s="29" t="n"/>
      <c r="G44" s="28">
        <f>IF(AND(D44="Feito",E44&lt;&gt;"",F44&lt;&gt;""),F44-E44,"")</f>
        <v/>
      </c>
      <c r="H44" s="28">
        <f>IF(OR(D44="Feito",E44=""),"",TODAY()-E44)</f>
        <v/>
      </c>
      <c r="I44" s="28">
        <f>IF(D44="Feito","",IF(H44="","",IF(H44&gt;7,"⚠ atraso","")))</f>
        <v/>
      </c>
      <c r="J44" s="2" t="n"/>
      <c r="K44" s="2" t="n"/>
      <c r="L44" s="2" t="n"/>
    </row>
    <row r="45">
      <c r="A45" s="28" t="n"/>
      <c r="B45" s="28" t="n"/>
      <c r="C45" s="28" t="n"/>
      <c r="D45" s="28" t="n"/>
      <c r="E45" s="29" t="n"/>
      <c r="F45" s="29" t="n"/>
      <c r="G45" s="28">
        <f>IF(AND(D45="Feito",E45&lt;&gt;"",F45&lt;&gt;""),F45-E45,"")</f>
        <v/>
      </c>
      <c r="H45" s="28">
        <f>IF(OR(D45="Feito",E45=""),"",TODAY()-E45)</f>
        <v/>
      </c>
      <c r="I45" s="28">
        <f>IF(D45="Feito","",IF(H45="","",IF(H45&gt;7,"⚠ atraso","")))</f>
        <v/>
      </c>
      <c r="J45" s="2" t="n"/>
      <c r="K45" s="2" t="n"/>
      <c r="L45" s="2" t="n"/>
    </row>
    <row r="46">
      <c r="A46" s="28" t="n"/>
      <c r="B46" s="28" t="n"/>
      <c r="C46" s="28" t="n"/>
      <c r="D46" s="28" t="n"/>
      <c r="E46" s="29" t="n"/>
      <c r="F46" s="29" t="n"/>
      <c r="G46" s="28">
        <f>IF(AND(D46="Feito",E46&lt;&gt;"",F46&lt;&gt;""),F46-E46,"")</f>
        <v/>
      </c>
      <c r="H46" s="28">
        <f>IF(OR(D46="Feito",E46=""),"",TODAY()-E46)</f>
        <v/>
      </c>
      <c r="I46" s="28">
        <f>IF(D46="Feito","",IF(H46="","",IF(H46&gt;7,"⚠ atraso","")))</f>
        <v/>
      </c>
      <c r="J46" s="2" t="n"/>
      <c r="K46" s="2" t="n"/>
      <c r="L46" s="2" t="n"/>
    </row>
    <row r="47">
      <c r="A47" s="28" t="n"/>
      <c r="B47" s="28" t="n"/>
      <c r="C47" s="28" t="n"/>
      <c r="D47" s="28" t="n"/>
      <c r="E47" s="29" t="n"/>
      <c r="F47" s="29" t="n"/>
      <c r="G47" s="28">
        <f>IF(AND(D47="Feito",E47&lt;&gt;"",F47&lt;&gt;""),F47-E47,"")</f>
        <v/>
      </c>
      <c r="H47" s="28">
        <f>IF(OR(D47="Feito",E47=""),"",TODAY()-E47)</f>
        <v/>
      </c>
      <c r="I47" s="28">
        <f>IF(D47="Feito","",IF(H47="","",IF(H47&gt;7,"⚠ atraso","")))</f>
        <v/>
      </c>
      <c r="J47" s="2" t="n"/>
      <c r="K47" s="2" t="n"/>
      <c r="L47" s="2" t="n"/>
    </row>
    <row r="48">
      <c r="A48" s="28" t="n"/>
      <c r="B48" s="28" t="n"/>
      <c r="C48" s="28" t="n"/>
      <c r="D48" s="28" t="n"/>
      <c r="E48" s="29" t="n"/>
      <c r="F48" s="29" t="n"/>
      <c r="G48" s="28">
        <f>IF(AND(D48="Feito",E48&lt;&gt;"",F48&lt;&gt;""),F48-E48,"")</f>
        <v/>
      </c>
      <c r="H48" s="28">
        <f>IF(OR(D48="Feito",E48=""),"",TODAY()-E48)</f>
        <v/>
      </c>
      <c r="I48" s="28">
        <f>IF(D48="Feito","",IF(H48="","",IF(H48&gt;7,"⚠ atraso","")))</f>
        <v/>
      </c>
      <c r="J48" s="2" t="n"/>
      <c r="K48" s="2" t="n"/>
      <c r="L48" s="2" t="n"/>
    </row>
    <row r="49">
      <c r="A49" s="28" t="n"/>
      <c r="B49" s="28" t="n"/>
      <c r="C49" s="28" t="n"/>
      <c r="D49" s="28" t="n"/>
      <c r="E49" s="29" t="n"/>
      <c r="F49" s="29" t="n"/>
      <c r="G49" s="28">
        <f>IF(AND(D49="Feito",E49&lt;&gt;"",F49&lt;&gt;""),F49-E49,"")</f>
        <v/>
      </c>
      <c r="H49" s="28">
        <f>IF(OR(D49="Feito",E49=""),"",TODAY()-E49)</f>
        <v/>
      </c>
      <c r="I49" s="28">
        <f>IF(D49="Feito","",IF(H49="","",IF(H49&gt;7,"⚠ atraso","")))</f>
        <v/>
      </c>
      <c r="J49" s="2" t="n"/>
      <c r="K49" s="2" t="n"/>
      <c r="L49" s="2" t="n"/>
    </row>
    <row r="50">
      <c r="A50" s="28" t="n"/>
      <c r="B50" s="28" t="n"/>
      <c r="C50" s="28" t="n"/>
      <c r="D50" s="28" t="n"/>
      <c r="E50" s="29" t="n"/>
      <c r="F50" s="29" t="n"/>
      <c r="G50" s="28">
        <f>IF(AND(D50="Feito",E50&lt;&gt;"",F50&lt;&gt;""),F50-E50,"")</f>
        <v/>
      </c>
      <c r="H50" s="28">
        <f>IF(OR(D50="Feito",E50=""),"",TODAY()-E50)</f>
        <v/>
      </c>
      <c r="I50" s="28">
        <f>IF(D50="Feito","",IF(H50="","",IF(H50&gt;7,"⚠ atraso","")))</f>
        <v/>
      </c>
      <c r="J50" s="2" t="n"/>
      <c r="K50" s="2" t="n"/>
      <c r="L50" s="2" t="n"/>
    </row>
    <row r="51">
      <c r="A51" s="28" t="n"/>
      <c r="B51" s="28" t="n"/>
      <c r="C51" s="28" t="n"/>
      <c r="D51" s="28" t="n"/>
      <c r="E51" s="29" t="n"/>
      <c r="F51" s="29" t="n"/>
      <c r="G51" s="28">
        <f>IF(AND(D51="Feito",E51&lt;&gt;"",F51&lt;&gt;""),F51-E51,"")</f>
        <v/>
      </c>
      <c r="H51" s="28">
        <f>IF(OR(D51="Feito",E51=""),"",TODAY()-E51)</f>
        <v/>
      </c>
      <c r="I51" s="28">
        <f>IF(D51="Feito","",IF(H51="","",IF(H51&gt;7,"⚠ atraso","")))</f>
        <v/>
      </c>
      <c r="J51" s="2" t="n"/>
      <c r="K51" s="2" t="n"/>
      <c r="L51" s="2" t="n"/>
    </row>
    <row r="52">
      <c r="A52" s="28" t="n"/>
      <c r="B52" s="28" t="n"/>
      <c r="C52" s="28" t="n"/>
      <c r="D52" s="28" t="n"/>
      <c r="E52" s="29" t="n"/>
      <c r="F52" s="29" t="n"/>
      <c r="G52" s="28">
        <f>IF(AND(D52="Feito",E52&lt;&gt;"",F52&lt;&gt;""),F52-E52,"")</f>
        <v/>
      </c>
      <c r="H52" s="28">
        <f>IF(OR(D52="Feito",E52=""),"",TODAY()-E52)</f>
        <v/>
      </c>
      <c r="I52" s="28">
        <f>IF(D52="Feito","",IF(H52="","",IF(H52&gt;7,"⚠ atraso","")))</f>
        <v/>
      </c>
      <c r="J52" s="2" t="n"/>
      <c r="K52" s="2" t="n"/>
      <c r="L52" s="2" t="n"/>
    </row>
    <row r="53">
      <c r="A53" s="28" t="n"/>
      <c r="B53" s="28" t="n"/>
      <c r="C53" s="28" t="n"/>
      <c r="D53" s="28" t="n"/>
      <c r="E53" s="29" t="n"/>
      <c r="F53" s="29" t="n"/>
      <c r="G53" s="28">
        <f>IF(AND(D53="Feito",E53&lt;&gt;"",F53&lt;&gt;""),F53-E53,"")</f>
        <v/>
      </c>
      <c r="H53" s="28">
        <f>IF(OR(D53="Feito",E53=""),"",TODAY()-E53)</f>
        <v/>
      </c>
      <c r="I53" s="28">
        <f>IF(D53="Feito","",IF(H53="","",IF(H53&gt;7,"⚠ atraso","")))</f>
        <v/>
      </c>
      <c r="J53" s="2" t="n"/>
      <c r="K53" s="2" t="n"/>
      <c r="L53" s="2" t="n"/>
    </row>
    <row r="54">
      <c r="A54" s="28" t="n"/>
      <c r="B54" s="28" t="n"/>
      <c r="C54" s="28" t="n"/>
      <c r="D54" s="28" t="n"/>
      <c r="E54" s="29" t="n"/>
      <c r="F54" s="29" t="n"/>
      <c r="G54" s="28">
        <f>IF(AND(D54="Feito",E54&lt;&gt;"",F54&lt;&gt;""),F54-E54,"")</f>
        <v/>
      </c>
      <c r="H54" s="28">
        <f>IF(OR(D54="Feito",E54=""),"",TODAY()-E54)</f>
        <v/>
      </c>
      <c r="I54" s="28">
        <f>IF(D54="Feito","",IF(H54="","",IF(H54&gt;7,"⚠ atraso","")))</f>
        <v/>
      </c>
      <c r="J54" s="2" t="n"/>
      <c r="K54" s="2" t="n"/>
      <c r="L54" s="2" t="n"/>
    </row>
    <row r="55">
      <c r="A55" s="28" t="n"/>
      <c r="B55" s="28" t="n"/>
      <c r="C55" s="28" t="n"/>
      <c r="D55" s="28" t="n"/>
      <c r="E55" s="29" t="n"/>
      <c r="F55" s="29" t="n"/>
      <c r="G55" s="28">
        <f>IF(AND(D55="Feito",E55&lt;&gt;"",F55&lt;&gt;""),F55-E55,"")</f>
        <v/>
      </c>
      <c r="H55" s="28">
        <f>IF(OR(D55="Feito",E55=""),"",TODAY()-E55)</f>
        <v/>
      </c>
      <c r="I55" s="28">
        <f>IF(D55="Feito","",IF(H55="","",IF(H55&gt;7,"⚠ atraso","")))</f>
        <v/>
      </c>
      <c r="J55" s="2" t="n"/>
      <c r="K55" s="2" t="n"/>
      <c r="L55" s="2" t="n"/>
    </row>
    <row r="56">
      <c r="A56" s="28" t="n"/>
      <c r="B56" s="28" t="n"/>
      <c r="C56" s="28" t="n"/>
      <c r="D56" s="28" t="n"/>
      <c r="E56" s="29" t="n"/>
      <c r="F56" s="29" t="n"/>
      <c r="G56" s="28">
        <f>IF(AND(D56="Feito",E56&lt;&gt;"",F56&lt;&gt;""),F56-E56,"")</f>
        <v/>
      </c>
      <c r="H56" s="28">
        <f>IF(OR(D56="Feito",E56=""),"",TODAY()-E56)</f>
        <v/>
      </c>
      <c r="I56" s="28">
        <f>IF(D56="Feito","",IF(H56="","",IF(H56&gt;7,"⚠ atraso","")))</f>
        <v/>
      </c>
      <c r="J56" s="2" t="n"/>
      <c r="K56" s="2" t="n"/>
      <c r="L56" s="2" t="n"/>
    </row>
    <row r="57">
      <c r="A57" s="28" t="n"/>
      <c r="B57" s="28" t="n"/>
      <c r="C57" s="28" t="n"/>
      <c r="D57" s="28" t="n"/>
      <c r="E57" s="29" t="n"/>
      <c r="F57" s="29" t="n"/>
      <c r="G57" s="28">
        <f>IF(AND(D57="Feito",E57&lt;&gt;"",F57&lt;&gt;""),F57-E57,"")</f>
        <v/>
      </c>
      <c r="H57" s="28">
        <f>IF(OR(D57="Feito",E57=""),"",TODAY()-E57)</f>
        <v/>
      </c>
      <c r="I57" s="28">
        <f>IF(D57="Feito","",IF(H57="","",IF(H57&gt;7,"⚠ atraso","")))</f>
        <v/>
      </c>
      <c r="J57" s="2" t="n"/>
      <c r="K57" s="2" t="n"/>
      <c r="L57" s="2" t="n"/>
    </row>
    <row r="58">
      <c r="A58" s="28" t="n"/>
      <c r="B58" s="28" t="n"/>
      <c r="C58" s="28" t="n"/>
      <c r="D58" s="28" t="n"/>
      <c r="E58" s="29" t="n"/>
      <c r="F58" s="29" t="n"/>
      <c r="G58" s="28">
        <f>IF(AND(D58="Feito",E58&lt;&gt;"",F58&lt;&gt;""),F58-E58,"")</f>
        <v/>
      </c>
      <c r="H58" s="28">
        <f>IF(OR(D58="Feito",E58=""),"",TODAY()-E58)</f>
        <v/>
      </c>
      <c r="I58" s="28">
        <f>IF(D58="Feito","",IF(H58="","",IF(H58&gt;7,"⚠ atraso","")))</f>
        <v/>
      </c>
      <c r="J58" s="2" t="n"/>
      <c r="K58" s="2" t="n"/>
      <c r="L58" s="2" t="n"/>
    </row>
    <row r="59">
      <c r="A59" s="28" t="n"/>
      <c r="B59" s="28" t="n"/>
      <c r="C59" s="28" t="n"/>
      <c r="D59" s="28" t="n"/>
      <c r="E59" s="29" t="n"/>
      <c r="F59" s="29" t="n"/>
      <c r="G59" s="28">
        <f>IF(AND(D59="Feito",E59&lt;&gt;"",F59&lt;&gt;""),F59-E59,"")</f>
        <v/>
      </c>
      <c r="H59" s="28">
        <f>IF(OR(D59="Feito",E59=""),"",TODAY()-E59)</f>
        <v/>
      </c>
      <c r="I59" s="28">
        <f>IF(D59="Feito","",IF(H59="","",IF(H59&gt;7,"⚠ atraso","")))</f>
        <v/>
      </c>
      <c r="J59" s="2" t="n"/>
      <c r="K59" s="2" t="n"/>
      <c r="L59" s="2" t="n"/>
    </row>
    <row r="60">
      <c r="A60" s="28" t="n"/>
      <c r="B60" s="28" t="n"/>
      <c r="C60" s="28" t="n"/>
      <c r="D60" s="28" t="n"/>
      <c r="E60" s="29" t="n"/>
      <c r="F60" s="29" t="n"/>
      <c r="G60" s="28">
        <f>IF(AND(D60="Feito",E60&lt;&gt;"",F60&lt;&gt;""),F60-E60,"")</f>
        <v/>
      </c>
      <c r="H60" s="28">
        <f>IF(OR(D60="Feito",E60=""),"",TODAY()-E60)</f>
        <v/>
      </c>
      <c r="I60" s="28">
        <f>IF(D60="Feito","",IF(H60="","",IF(H60&gt;7,"⚠ atraso","")))</f>
        <v/>
      </c>
      <c r="J60" s="2" t="n"/>
      <c r="K60" s="2" t="n"/>
      <c r="L60" s="2" t="n"/>
    </row>
    <row r="61">
      <c r="A61" s="28" t="n"/>
      <c r="B61" s="28" t="n"/>
      <c r="C61" s="28" t="n"/>
      <c r="D61" s="28" t="n"/>
      <c r="E61" s="29" t="n"/>
      <c r="F61" s="29" t="n"/>
      <c r="G61" s="28">
        <f>IF(AND(D61="Feito",E61&lt;&gt;"",F61&lt;&gt;""),F61-E61,"")</f>
        <v/>
      </c>
      <c r="H61" s="28">
        <f>IF(OR(D61="Feito",E61=""),"",TODAY()-E61)</f>
        <v/>
      </c>
      <c r="I61" s="28">
        <f>IF(D61="Feito","",IF(H61="","",IF(H61&gt;7,"⚠ atraso","")))</f>
        <v/>
      </c>
      <c r="J61" s="2" t="n"/>
      <c r="K61" s="2" t="n"/>
      <c r="L61" s="2" t="n"/>
    </row>
    <row r="62">
      <c r="A62" s="28" t="n"/>
      <c r="B62" s="28" t="n"/>
      <c r="C62" s="28" t="n"/>
      <c r="D62" s="28" t="n"/>
      <c r="E62" s="29" t="n"/>
      <c r="F62" s="29" t="n"/>
      <c r="G62" s="28">
        <f>IF(AND(D62="Feito",E62&lt;&gt;"",F62&lt;&gt;""),F62-E62,"")</f>
        <v/>
      </c>
      <c r="H62" s="28">
        <f>IF(OR(D62="Feito",E62=""),"",TODAY()-E62)</f>
        <v/>
      </c>
      <c r="I62" s="28">
        <f>IF(D62="Feito","",IF(H62="","",IF(H62&gt;7,"⚠ atraso","")))</f>
        <v/>
      </c>
      <c r="J62" s="2" t="n"/>
      <c r="K62" s="2" t="n"/>
      <c r="L62" s="2" t="n"/>
    </row>
    <row r="63">
      <c r="A63" s="28" t="n"/>
      <c r="B63" s="28" t="n"/>
      <c r="C63" s="28" t="n"/>
      <c r="D63" s="28" t="n"/>
      <c r="E63" s="29" t="n"/>
      <c r="F63" s="29" t="n"/>
      <c r="G63" s="28">
        <f>IF(AND(D63="Feito",E63&lt;&gt;"",F63&lt;&gt;""),F63-E63,"")</f>
        <v/>
      </c>
      <c r="H63" s="28">
        <f>IF(OR(D63="Feito",E63=""),"",TODAY()-E63)</f>
        <v/>
      </c>
      <c r="I63" s="28">
        <f>IF(D63="Feito","",IF(H63="","",IF(H63&gt;7,"⚠ atraso","")))</f>
        <v/>
      </c>
      <c r="J63" s="2" t="n"/>
      <c r="K63" s="2" t="n"/>
      <c r="L63" s="2" t="n"/>
    </row>
    <row r="64">
      <c r="A64" s="28" t="n"/>
      <c r="B64" s="28" t="n"/>
      <c r="C64" s="28" t="n"/>
      <c r="D64" s="28" t="n"/>
      <c r="E64" s="29" t="n"/>
      <c r="F64" s="29" t="n"/>
      <c r="G64" s="28">
        <f>IF(AND(D64="Feito",E64&lt;&gt;"",F64&lt;&gt;""),F64-E64,"")</f>
        <v/>
      </c>
      <c r="H64" s="28">
        <f>IF(OR(D64="Feito",E64=""),"",TODAY()-E64)</f>
        <v/>
      </c>
      <c r="I64" s="28">
        <f>IF(D64="Feito","",IF(H64="","",IF(H64&gt;7,"⚠ atraso","")))</f>
        <v/>
      </c>
      <c r="J64" s="2" t="n"/>
      <c r="K64" s="2" t="n"/>
      <c r="L64" s="2" t="n"/>
    </row>
    <row r="65">
      <c r="A65" s="28" t="n"/>
      <c r="B65" s="28" t="n"/>
      <c r="C65" s="28" t="n"/>
      <c r="D65" s="28" t="n"/>
      <c r="E65" s="29" t="n"/>
      <c r="F65" s="29" t="n"/>
      <c r="G65" s="28">
        <f>IF(AND(D65="Feito",E65&lt;&gt;"",F65&lt;&gt;""),F65-E65,"")</f>
        <v/>
      </c>
      <c r="H65" s="28">
        <f>IF(OR(D65="Feito",E65=""),"",TODAY()-E65)</f>
        <v/>
      </c>
      <c r="I65" s="28">
        <f>IF(D65="Feito","",IF(H65="","",IF(H65&gt;7,"⚠ atraso","")))</f>
        <v/>
      </c>
      <c r="J65" s="2" t="n"/>
      <c r="K65" s="2" t="n"/>
      <c r="L65" s="2" t="n"/>
    </row>
    <row r="66">
      <c r="A66" s="28" t="n"/>
      <c r="B66" s="28" t="n"/>
      <c r="C66" s="28" t="n"/>
      <c r="D66" s="28" t="n"/>
      <c r="E66" s="29" t="n"/>
      <c r="F66" s="29" t="n"/>
      <c r="G66" s="28">
        <f>IF(AND(D66="Feito",E66&lt;&gt;"",F66&lt;&gt;""),F66-E66,"")</f>
        <v/>
      </c>
      <c r="H66" s="28">
        <f>IF(OR(D66="Feito",E66=""),"",TODAY()-E66)</f>
        <v/>
      </c>
      <c r="I66" s="28">
        <f>IF(D66="Feito","",IF(H66="","",IF(H66&gt;7,"⚠ atraso","")))</f>
        <v/>
      </c>
      <c r="J66" s="2" t="n"/>
      <c r="K66" s="2" t="n"/>
      <c r="L66" s="2" t="n"/>
    </row>
    <row r="67">
      <c r="A67" s="28" t="n"/>
      <c r="B67" s="28" t="n"/>
      <c r="C67" s="28" t="n"/>
      <c r="D67" s="28" t="n"/>
      <c r="E67" s="29" t="n"/>
      <c r="F67" s="29" t="n"/>
      <c r="G67" s="28">
        <f>IF(AND(D67="Feito",E67&lt;&gt;"",F67&lt;&gt;""),F67-E67,"")</f>
        <v/>
      </c>
      <c r="H67" s="28">
        <f>IF(OR(D67="Feito",E67=""),"",TODAY()-E67)</f>
        <v/>
      </c>
      <c r="I67" s="28">
        <f>IF(D67="Feito","",IF(H67="","",IF(H67&gt;7,"⚠ atraso","")))</f>
        <v/>
      </c>
      <c r="J67" s="2" t="n"/>
      <c r="K67" s="2" t="n"/>
      <c r="L67" s="2" t="n"/>
    </row>
    <row r="68">
      <c r="A68" s="28" t="n"/>
      <c r="B68" s="28" t="n"/>
      <c r="C68" s="28" t="n"/>
      <c r="D68" s="28" t="n"/>
      <c r="E68" s="29" t="n"/>
      <c r="F68" s="29" t="n"/>
      <c r="G68" s="28">
        <f>IF(AND(D68="Feito",E68&lt;&gt;"",F68&lt;&gt;""),F68-E68,"")</f>
        <v/>
      </c>
      <c r="H68" s="28">
        <f>IF(OR(D68="Feito",E68=""),"",TODAY()-E68)</f>
        <v/>
      </c>
      <c r="I68" s="28">
        <f>IF(D68="Feito","",IF(H68="","",IF(H68&gt;7,"⚠ atraso","")))</f>
        <v/>
      </c>
      <c r="J68" s="2" t="n"/>
      <c r="K68" s="2" t="n"/>
      <c r="L68" s="2" t="n"/>
    </row>
    <row r="69">
      <c r="A69" s="28" t="n"/>
      <c r="B69" s="28" t="n"/>
      <c r="C69" s="28" t="n"/>
      <c r="D69" s="28" t="n"/>
      <c r="E69" s="29" t="n"/>
      <c r="F69" s="29" t="n"/>
      <c r="G69" s="28">
        <f>IF(AND(D69="Feito",E69&lt;&gt;"",F69&lt;&gt;""),F69-E69,"")</f>
        <v/>
      </c>
      <c r="H69" s="28">
        <f>IF(OR(D69="Feito",E69=""),"",TODAY()-E69)</f>
        <v/>
      </c>
      <c r="I69" s="28">
        <f>IF(D69="Feito","",IF(H69="","",IF(H69&gt;7,"⚠ atraso","")))</f>
        <v/>
      </c>
      <c r="J69" s="2" t="n"/>
      <c r="K69" s="2" t="n"/>
      <c r="L69" s="2" t="n"/>
    </row>
    <row r="70">
      <c r="A70" s="28" t="n"/>
      <c r="B70" s="28" t="n"/>
      <c r="C70" s="28" t="n"/>
      <c r="D70" s="28" t="n"/>
      <c r="E70" s="29" t="n"/>
      <c r="F70" s="29" t="n"/>
      <c r="G70" s="28">
        <f>IF(AND(D70="Feito",E70&lt;&gt;"",F70&lt;&gt;""),F70-E70,"")</f>
        <v/>
      </c>
      <c r="H70" s="28">
        <f>IF(OR(D70="Feito",E70=""),"",TODAY()-E70)</f>
        <v/>
      </c>
      <c r="I70" s="28">
        <f>IF(D70="Feito","",IF(H70="","",IF(H70&gt;7,"⚠ atraso","")))</f>
        <v/>
      </c>
      <c r="J70" s="2" t="n"/>
      <c r="K70" s="2" t="n"/>
      <c r="L70" s="2" t="n"/>
    </row>
    <row r="71">
      <c r="A71" s="28" t="n"/>
      <c r="B71" s="28" t="n"/>
      <c r="C71" s="28" t="n"/>
      <c r="D71" s="28" t="n"/>
      <c r="E71" s="29" t="n"/>
      <c r="F71" s="29" t="n"/>
      <c r="G71" s="28">
        <f>IF(AND(D71="Feito",E71&lt;&gt;"",F71&lt;&gt;""),F71-E71,"")</f>
        <v/>
      </c>
      <c r="H71" s="28">
        <f>IF(OR(D71="Feito",E71=""),"",TODAY()-E71)</f>
        <v/>
      </c>
      <c r="I71" s="28">
        <f>IF(D71="Feito","",IF(H71="","",IF(H71&gt;7,"⚠ atraso","")))</f>
        <v/>
      </c>
      <c r="J71" s="2" t="n"/>
      <c r="K71" s="2" t="n"/>
      <c r="L71" s="2" t="n"/>
    </row>
    <row r="72">
      <c r="A72" s="28" t="n"/>
      <c r="B72" s="28" t="n"/>
      <c r="C72" s="28" t="n"/>
      <c r="D72" s="28" t="n"/>
      <c r="E72" s="29" t="n"/>
      <c r="F72" s="29" t="n"/>
      <c r="G72" s="28">
        <f>IF(AND(D72="Feito",E72&lt;&gt;"",F72&lt;&gt;""),F72-E72,"")</f>
        <v/>
      </c>
      <c r="H72" s="28">
        <f>IF(OR(D72="Feito",E72=""),"",TODAY()-E72)</f>
        <v/>
      </c>
      <c r="I72" s="28">
        <f>IF(D72="Feito","",IF(H72="","",IF(H72&gt;7,"⚠ atraso","")))</f>
        <v/>
      </c>
      <c r="J72" s="2" t="n"/>
      <c r="K72" s="2" t="n"/>
      <c r="L72" s="2" t="n"/>
    </row>
    <row r="73">
      <c r="A73" s="28" t="n"/>
      <c r="B73" s="28" t="n"/>
      <c r="C73" s="28" t="n"/>
      <c r="D73" s="28" t="n"/>
      <c r="E73" s="29" t="n"/>
      <c r="F73" s="29" t="n"/>
      <c r="G73" s="28">
        <f>IF(AND(D73="Feito",E73&lt;&gt;"",F73&lt;&gt;""),F73-E73,"")</f>
        <v/>
      </c>
      <c r="H73" s="28">
        <f>IF(OR(D73="Feito",E73=""),"",TODAY()-E73)</f>
        <v/>
      </c>
      <c r="I73" s="28">
        <f>IF(D73="Feito","",IF(H73="","",IF(H73&gt;7,"⚠ atraso","")))</f>
        <v/>
      </c>
      <c r="J73" s="2" t="n"/>
      <c r="K73" s="2" t="n"/>
      <c r="L73" s="2" t="n"/>
    </row>
    <row r="74">
      <c r="A74" s="28" t="n"/>
      <c r="B74" s="28" t="n"/>
      <c r="C74" s="28" t="n"/>
      <c r="D74" s="28" t="n"/>
      <c r="E74" s="29" t="n"/>
      <c r="F74" s="29" t="n"/>
      <c r="G74" s="28">
        <f>IF(AND(D74="Feito",E74&lt;&gt;"",F74&lt;&gt;""),F74-E74,"")</f>
        <v/>
      </c>
      <c r="H74" s="28">
        <f>IF(OR(D74="Feito",E74=""),"",TODAY()-E74)</f>
        <v/>
      </c>
      <c r="I74" s="28">
        <f>IF(D74="Feito","",IF(H74="","",IF(H74&gt;7,"⚠ atraso","")))</f>
        <v/>
      </c>
      <c r="J74" s="2" t="n"/>
      <c r="K74" s="2" t="n"/>
      <c r="L74" s="2" t="n"/>
    </row>
    <row r="75">
      <c r="A75" s="28" t="n"/>
      <c r="B75" s="28" t="n"/>
      <c r="C75" s="28" t="n"/>
      <c r="D75" s="28" t="n"/>
      <c r="E75" s="29" t="n"/>
      <c r="F75" s="29" t="n"/>
      <c r="G75" s="28">
        <f>IF(AND(D75="Feito",E75&lt;&gt;"",F75&lt;&gt;""),F75-E75,"")</f>
        <v/>
      </c>
      <c r="H75" s="28">
        <f>IF(OR(D75="Feito",E75=""),"",TODAY()-E75)</f>
        <v/>
      </c>
      <c r="I75" s="28">
        <f>IF(D75="Feito","",IF(H75="","",IF(H75&gt;7,"⚠ atraso","")))</f>
        <v/>
      </c>
      <c r="J75" s="2" t="n"/>
      <c r="K75" s="2" t="n"/>
      <c r="L75" s="2" t="n"/>
    </row>
    <row r="76">
      <c r="A76" s="28" t="n"/>
      <c r="B76" s="28" t="n"/>
      <c r="C76" s="28" t="n"/>
      <c r="D76" s="28" t="n"/>
      <c r="E76" s="29" t="n"/>
      <c r="F76" s="29" t="n"/>
      <c r="G76" s="28">
        <f>IF(AND(D76="Feito",E76&lt;&gt;"",F76&lt;&gt;""),F76-E76,"")</f>
        <v/>
      </c>
      <c r="H76" s="28">
        <f>IF(OR(D76="Feito",E76=""),"",TODAY()-E76)</f>
        <v/>
      </c>
      <c r="I76" s="28">
        <f>IF(D76="Feito","",IF(H76="","",IF(H76&gt;7,"⚠ atraso","")))</f>
        <v/>
      </c>
      <c r="J76" s="2" t="n"/>
      <c r="K76" s="2" t="n"/>
      <c r="L76" s="2" t="n"/>
    </row>
    <row r="77">
      <c r="A77" s="28" t="n"/>
      <c r="B77" s="28" t="n"/>
      <c r="C77" s="28" t="n"/>
      <c r="D77" s="28" t="n"/>
      <c r="E77" s="29" t="n"/>
      <c r="F77" s="29" t="n"/>
      <c r="G77" s="28">
        <f>IF(AND(D77="Feito",E77&lt;&gt;"",F77&lt;&gt;""),F77-E77,"")</f>
        <v/>
      </c>
      <c r="H77" s="28">
        <f>IF(OR(D77="Feito",E77=""),"",TODAY()-E77)</f>
        <v/>
      </c>
      <c r="I77" s="28">
        <f>IF(D77="Feito","",IF(H77="","",IF(H77&gt;7,"⚠ atraso","")))</f>
        <v/>
      </c>
      <c r="J77" s="2" t="n"/>
      <c r="K77" s="2" t="n"/>
      <c r="L77" s="2" t="n"/>
    </row>
    <row r="78">
      <c r="A78" s="28" t="n"/>
      <c r="B78" s="28" t="n"/>
      <c r="C78" s="28" t="n"/>
      <c r="D78" s="28" t="n"/>
      <c r="E78" s="29" t="n"/>
      <c r="F78" s="29" t="n"/>
      <c r="G78" s="28">
        <f>IF(AND(D78="Feito",E78&lt;&gt;"",F78&lt;&gt;""),F78-E78,"")</f>
        <v/>
      </c>
      <c r="H78" s="28">
        <f>IF(OR(D78="Feito",E78=""),"",TODAY()-E78)</f>
        <v/>
      </c>
      <c r="I78" s="28">
        <f>IF(D78="Feito","",IF(H78="","",IF(H78&gt;7,"⚠ atraso","")))</f>
        <v/>
      </c>
      <c r="J78" s="2" t="n"/>
      <c r="K78" s="2" t="n"/>
      <c r="L78" s="2" t="n"/>
    </row>
    <row r="79">
      <c r="A79" s="28" t="n"/>
      <c r="B79" s="28" t="n"/>
      <c r="C79" s="28" t="n"/>
      <c r="D79" s="28" t="n"/>
      <c r="E79" s="29" t="n"/>
      <c r="F79" s="29" t="n"/>
      <c r="G79" s="28">
        <f>IF(AND(D79="Feito",E79&lt;&gt;"",F79&lt;&gt;""),F79-E79,"")</f>
        <v/>
      </c>
      <c r="H79" s="28">
        <f>IF(OR(D79="Feito",E79=""),"",TODAY()-E79)</f>
        <v/>
      </c>
      <c r="I79" s="28">
        <f>IF(D79="Feito","",IF(H79="","",IF(H79&gt;7,"⚠ atraso","")))</f>
        <v/>
      </c>
      <c r="J79" s="2" t="n"/>
      <c r="K79" s="2" t="n"/>
      <c r="L79" s="2" t="n"/>
    </row>
    <row r="80">
      <c r="A80" s="28" t="n"/>
      <c r="B80" s="28" t="n"/>
      <c r="C80" s="28" t="n"/>
      <c r="D80" s="28" t="n"/>
      <c r="E80" s="29" t="n"/>
      <c r="F80" s="29" t="n"/>
      <c r="G80" s="28">
        <f>IF(AND(D80="Feito",E80&lt;&gt;"",F80&lt;&gt;""),F80-E80,"")</f>
        <v/>
      </c>
      <c r="H80" s="28">
        <f>IF(OR(D80="Feito",E80=""),"",TODAY()-E80)</f>
        <v/>
      </c>
      <c r="I80" s="28">
        <f>IF(D80="Feito","",IF(H80="","",IF(H80&gt;7,"⚠ atraso","")))</f>
        <v/>
      </c>
      <c r="J80" s="2" t="n"/>
      <c r="K80" s="2" t="n"/>
      <c r="L80" s="2" t="n"/>
    </row>
    <row r="81">
      <c r="A81" s="28" t="n"/>
      <c r="B81" s="28" t="n"/>
      <c r="C81" s="28" t="n"/>
      <c r="D81" s="28" t="n"/>
      <c r="E81" s="29" t="n"/>
      <c r="F81" s="29" t="n"/>
      <c r="G81" s="28">
        <f>IF(AND(D81="Feito",E81&lt;&gt;"",F81&lt;&gt;""),F81-E81,"")</f>
        <v/>
      </c>
      <c r="H81" s="28">
        <f>IF(OR(D81="Feito",E81=""),"",TODAY()-E81)</f>
        <v/>
      </c>
      <c r="I81" s="28">
        <f>IF(D81="Feito","",IF(H81="","",IF(H81&gt;7,"⚠ atraso","")))</f>
        <v/>
      </c>
      <c r="J81" s="2" t="n"/>
      <c r="K81" s="2" t="n"/>
      <c r="L81" s="2" t="n"/>
    </row>
    <row r="82">
      <c r="A82" s="28" t="n"/>
      <c r="B82" s="28" t="n"/>
      <c r="C82" s="28" t="n"/>
      <c r="D82" s="28" t="n"/>
      <c r="E82" s="29" t="n"/>
      <c r="F82" s="29" t="n"/>
      <c r="G82" s="28">
        <f>IF(AND(D82="Feito",E82&lt;&gt;"",F82&lt;&gt;""),F82-E82,"")</f>
        <v/>
      </c>
      <c r="H82" s="28">
        <f>IF(OR(D82="Feito",E82=""),"",TODAY()-E82)</f>
        <v/>
      </c>
      <c r="I82" s="28">
        <f>IF(D82="Feito","",IF(H82="","",IF(H82&gt;7,"⚠ atraso","")))</f>
        <v/>
      </c>
      <c r="J82" s="2" t="n"/>
      <c r="K82" s="2" t="n"/>
      <c r="L82" s="2" t="n"/>
    </row>
    <row r="83">
      <c r="A83" s="28" t="n"/>
      <c r="B83" s="28" t="n"/>
      <c r="C83" s="28" t="n"/>
      <c r="D83" s="28" t="n"/>
      <c r="E83" s="29" t="n"/>
      <c r="F83" s="29" t="n"/>
      <c r="G83" s="28">
        <f>IF(AND(D83="Feito",E83&lt;&gt;"",F83&lt;&gt;""),F83-E83,"")</f>
        <v/>
      </c>
      <c r="H83" s="28">
        <f>IF(OR(D83="Feito",E83=""),"",TODAY()-E83)</f>
        <v/>
      </c>
      <c r="I83" s="28">
        <f>IF(D83="Feito","",IF(H83="","",IF(H83&gt;7,"⚠ atraso","")))</f>
        <v/>
      </c>
      <c r="J83" s="2" t="n"/>
      <c r="K83" s="2" t="n"/>
      <c r="L83" s="2" t="n"/>
    </row>
    <row r="84">
      <c r="A84" s="28" t="n"/>
      <c r="B84" s="28" t="n"/>
      <c r="C84" s="28" t="n"/>
      <c r="D84" s="28" t="n"/>
      <c r="E84" s="29" t="n"/>
      <c r="F84" s="29" t="n"/>
      <c r="G84" s="28">
        <f>IF(AND(D84="Feito",E84&lt;&gt;"",F84&lt;&gt;""),F84-E84,"")</f>
        <v/>
      </c>
      <c r="H84" s="28">
        <f>IF(OR(D84="Feito",E84=""),"",TODAY()-E84)</f>
        <v/>
      </c>
      <c r="I84" s="28">
        <f>IF(D84="Feito","",IF(H84="","",IF(H84&gt;7,"⚠ atraso","")))</f>
        <v/>
      </c>
      <c r="J84" s="2" t="n"/>
      <c r="K84" s="2" t="n"/>
      <c r="L84" s="2" t="n"/>
    </row>
    <row r="85">
      <c r="A85" s="28" t="n"/>
      <c r="B85" s="28" t="n"/>
      <c r="C85" s="28" t="n"/>
      <c r="D85" s="28" t="n"/>
      <c r="E85" s="29" t="n"/>
      <c r="F85" s="29" t="n"/>
      <c r="G85" s="28">
        <f>IF(AND(D85="Feito",E85&lt;&gt;"",F85&lt;&gt;""),F85-E85,"")</f>
        <v/>
      </c>
      <c r="H85" s="28">
        <f>IF(OR(D85="Feito",E85=""),"",TODAY()-E85)</f>
        <v/>
      </c>
      <c r="I85" s="28">
        <f>IF(D85="Feito","",IF(H85="","",IF(H85&gt;7,"⚠ atraso","")))</f>
        <v/>
      </c>
      <c r="J85" s="2" t="n"/>
      <c r="K85" s="2" t="n"/>
      <c r="L85" s="2" t="n"/>
    </row>
    <row r="86">
      <c r="A86" s="28" t="n"/>
      <c r="B86" s="28" t="n"/>
      <c r="C86" s="28" t="n"/>
      <c r="D86" s="28" t="n"/>
      <c r="E86" s="29" t="n"/>
      <c r="F86" s="29" t="n"/>
      <c r="G86" s="28">
        <f>IF(AND(D86="Feito",E86&lt;&gt;"",F86&lt;&gt;""),F86-E86,"")</f>
        <v/>
      </c>
      <c r="H86" s="28">
        <f>IF(OR(D86="Feito",E86=""),"",TODAY()-E86)</f>
        <v/>
      </c>
      <c r="I86" s="28">
        <f>IF(D86="Feito","",IF(H86="","",IF(H86&gt;7,"⚠ atraso","")))</f>
        <v/>
      </c>
      <c r="J86" s="2" t="n"/>
      <c r="K86" s="2" t="n"/>
      <c r="L86" s="2" t="n"/>
    </row>
    <row r="87">
      <c r="A87" s="28" t="n"/>
      <c r="B87" s="28" t="n"/>
      <c r="C87" s="28" t="n"/>
      <c r="D87" s="28" t="n"/>
      <c r="E87" s="29" t="n"/>
      <c r="F87" s="29" t="n"/>
      <c r="G87" s="28">
        <f>IF(AND(D87="Feito",E87&lt;&gt;"",F87&lt;&gt;""),F87-E87,"")</f>
        <v/>
      </c>
      <c r="H87" s="28">
        <f>IF(OR(D87="Feito",E87=""),"",TODAY()-E87)</f>
        <v/>
      </c>
      <c r="I87" s="28">
        <f>IF(D87="Feito","",IF(H87="","",IF(H87&gt;7,"⚠ atraso","")))</f>
        <v/>
      </c>
      <c r="J87" s="2" t="n"/>
      <c r="K87" s="2" t="n"/>
      <c r="L87" s="2" t="n"/>
    </row>
    <row r="88">
      <c r="A88" s="28" t="n"/>
      <c r="B88" s="28" t="n"/>
      <c r="C88" s="28" t="n"/>
      <c r="D88" s="28" t="n"/>
      <c r="E88" s="29" t="n"/>
      <c r="F88" s="29" t="n"/>
      <c r="G88" s="28">
        <f>IF(AND(D88="Feito",E88&lt;&gt;"",F88&lt;&gt;""),F88-E88,"")</f>
        <v/>
      </c>
      <c r="H88" s="28">
        <f>IF(OR(D88="Feito",E88=""),"",TODAY()-E88)</f>
        <v/>
      </c>
      <c r="I88" s="28">
        <f>IF(D88="Feito","",IF(H88="","",IF(H88&gt;7,"⚠ atraso","")))</f>
        <v/>
      </c>
      <c r="J88" s="2" t="n"/>
      <c r="K88" s="2" t="n"/>
      <c r="L88" s="2" t="n"/>
    </row>
    <row r="89">
      <c r="A89" s="28" t="n"/>
      <c r="B89" s="28" t="n"/>
      <c r="C89" s="28" t="n"/>
      <c r="D89" s="28" t="n"/>
      <c r="E89" s="29" t="n"/>
      <c r="F89" s="29" t="n"/>
      <c r="G89" s="28">
        <f>IF(AND(D89="Feito",E89&lt;&gt;"",F89&lt;&gt;""),F89-E89,"")</f>
        <v/>
      </c>
      <c r="H89" s="28">
        <f>IF(OR(D89="Feito",E89=""),"",TODAY()-E89)</f>
        <v/>
      </c>
      <c r="I89" s="28">
        <f>IF(D89="Feito","",IF(H89="","",IF(H89&gt;7,"⚠ atraso","")))</f>
        <v/>
      </c>
      <c r="J89" s="2" t="n"/>
      <c r="K89" s="2" t="n"/>
      <c r="L89" s="2" t="n"/>
    </row>
    <row r="90">
      <c r="A90" s="28" t="n"/>
      <c r="B90" s="28" t="n"/>
      <c r="C90" s="28" t="n"/>
      <c r="D90" s="28" t="n"/>
      <c r="E90" s="29" t="n"/>
      <c r="F90" s="29" t="n"/>
      <c r="G90" s="28">
        <f>IF(AND(D90="Feito",E90&lt;&gt;"",F90&lt;&gt;""),F90-E90,"")</f>
        <v/>
      </c>
      <c r="H90" s="28">
        <f>IF(OR(D90="Feito",E90=""),"",TODAY()-E90)</f>
        <v/>
      </c>
      <c r="I90" s="28">
        <f>IF(D90="Feito","",IF(H90="","",IF(H90&gt;7,"⚠ atraso","")))</f>
        <v/>
      </c>
      <c r="J90" s="2" t="n"/>
      <c r="K90" s="2" t="n"/>
      <c r="L90" s="2" t="n"/>
    </row>
    <row r="91">
      <c r="A91" s="28" t="n"/>
      <c r="B91" s="28" t="n"/>
      <c r="C91" s="28" t="n"/>
      <c r="D91" s="28" t="n"/>
      <c r="E91" s="29" t="n"/>
      <c r="F91" s="29" t="n"/>
      <c r="G91" s="28">
        <f>IF(AND(D91="Feito",E91&lt;&gt;"",F91&lt;&gt;""),F91-E91,"")</f>
        <v/>
      </c>
      <c r="H91" s="28">
        <f>IF(OR(D91="Feito",E91=""),"",TODAY()-E91)</f>
        <v/>
      </c>
      <c r="I91" s="28">
        <f>IF(D91="Feito","",IF(H91="","",IF(H91&gt;7,"⚠ atraso","")))</f>
        <v/>
      </c>
      <c r="J91" s="2" t="n"/>
      <c r="K91" s="2" t="n"/>
      <c r="L91" s="2" t="n"/>
    </row>
    <row r="92">
      <c r="A92" s="28" t="n"/>
      <c r="B92" s="28" t="n"/>
      <c r="C92" s="28" t="n"/>
      <c r="D92" s="28" t="n"/>
      <c r="E92" s="29" t="n"/>
      <c r="F92" s="29" t="n"/>
      <c r="G92" s="28">
        <f>IF(AND(D92="Feito",E92&lt;&gt;"",F92&lt;&gt;""),F92-E92,"")</f>
        <v/>
      </c>
      <c r="H92" s="28">
        <f>IF(OR(D92="Feito",E92=""),"",TODAY()-E92)</f>
        <v/>
      </c>
      <c r="I92" s="28">
        <f>IF(D92="Feito","",IF(H92="","",IF(H92&gt;7,"⚠ atraso","")))</f>
        <v/>
      </c>
      <c r="J92" s="2" t="n"/>
      <c r="K92" s="2" t="n"/>
      <c r="L92" s="2" t="n"/>
    </row>
    <row r="93">
      <c r="A93" s="28" t="n"/>
      <c r="B93" s="28" t="n"/>
      <c r="C93" s="28" t="n"/>
      <c r="D93" s="28" t="n"/>
      <c r="E93" s="29" t="n"/>
      <c r="F93" s="29" t="n"/>
      <c r="G93" s="28">
        <f>IF(AND(D93="Feito",E93&lt;&gt;"",F93&lt;&gt;""),F93-E93,"")</f>
        <v/>
      </c>
      <c r="H93" s="28">
        <f>IF(OR(D93="Feito",E93=""),"",TODAY()-E93)</f>
        <v/>
      </c>
      <c r="I93" s="28">
        <f>IF(D93="Feito","",IF(H93="","",IF(H93&gt;7,"⚠ atraso","")))</f>
        <v/>
      </c>
      <c r="J93" s="2" t="n"/>
      <c r="K93" s="2" t="n"/>
      <c r="L93" s="2" t="n"/>
    </row>
    <row r="94">
      <c r="A94" s="28" t="n"/>
      <c r="B94" s="28" t="n"/>
      <c r="C94" s="28" t="n"/>
      <c r="D94" s="28" t="n"/>
      <c r="E94" s="29" t="n"/>
      <c r="F94" s="29" t="n"/>
      <c r="G94" s="28">
        <f>IF(AND(D94="Feito",E94&lt;&gt;"",F94&lt;&gt;""),F94-E94,"")</f>
        <v/>
      </c>
      <c r="H94" s="28">
        <f>IF(OR(D94="Feito",E94=""),"",TODAY()-E94)</f>
        <v/>
      </c>
      <c r="I94" s="28">
        <f>IF(D94="Feito","",IF(H94="","",IF(H94&gt;7,"⚠ atraso","")))</f>
        <v/>
      </c>
      <c r="J94" s="2" t="n"/>
      <c r="K94" s="2" t="n"/>
      <c r="L94" s="2" t="n"/>
    </row>
    <row r="95">
      <c r="A95" s="28" t="n"/>
      <c r="B95" s="28" t="n"/>
      <c r="C95" s="28" t="n"/>
      <c r="D95" s="28" t="n"/>
      <c r="E95" s="29" t="n"/>
      <c r="F95" s="29" t="n"/>
      <c r="G95" s="28">
        <f>IF(AND(D95="Feito",E95&lt;&gt;"",F95&lt;&gt;""),F95-E95,"")</f>
        <v/>
      </c>
      <c r="H95" s="28">
        <f>IF(OR(D95="Feito",E95=""),"",TODAY()-E95)</f>
        <v/>
      </c>
      <c r="I95" s="28">
        <f>IF(D95="Feito","",IF(H95="","",IF(H95&gt;7,"⚠ atraso","")))</f>
        <v/>
      </c>
      <c r="J95" s="2" t="n"/>
      <c r="K95" s="2" t="n"/>
      <c r="L95" s="2" t="n"/>
    </row>
    <row r="96">
      <c r="A96" s="28" t="n"/>
      <c r="B96" s="28" t="n"/>
      <c r="C96" s="28" t="n"/>
      <c r="D96" s="28" t="n"/>
      <c r="E96" s="29" t="n"/>
      <c r="F96" s="29" t="n"/>
      <c r="G96" s="28">
        <f>IF(AND(D96="Feito",E96&lt;&gt;"",F96&lt;&gt;""),F96-E96,"")</f>
        <v/>
      </c>
      <c r="H96" s="28">
        <f>IF(OR(D96="Feito",E96=""),"",TODAY()-E96)</f>
        <v/>
      </c>
      <c r="I96" s="28">
        <f>IF(D96="Feito","",IF(H96="","",IF(H96&gt;7,"⚠ atraso","")))</f>
        <v/>
      </c>
      <c r="J96" s="2" t="n"/>
      <c r="K96" s="2" t="n"/>
      <c r="L96" s="2" t="n"/>
    </row>
    <row r="97">
      <c r="A97" s="28" t="n"/>
      <c r="B97" s="28" t="n"/>
      <c r="C97" s="28" t="n"/>
      <c r="D97" s="28" t="n"/>
      <c r="E97" s="29" t="n"/>
      <c r="F97" s="29" t="n"/>
      <c r="G97" s="28">
        <f>IF(AND(D97="Feito",E97&lt;&gt;"",F97&lt;&gt;""),F97-E97,"")</f>
        <v/>
      </c>
      <c r="H97" s="28">
        <f>IF(OR(D97="Feito",E97=""),"",TODAY()-E97)</f>
        <v/>
      </c>
      <c r="I97" s="28">
        <f>IF(D97="Feito","",IF(H97="","",IF(H97&gt;7,"⚠ atraso","")))</f>
        <v/>
      </c>
      <c r="J97" s="2" t="n"/>
      <c r="K97" s="2" t="n"/>
      <c r="L97" s="2" t="n"/>
    </row>
    <row r="98">
      <c r="A98" s="28" t="n"/>
      <c r="B98" s="28" t="n"/>
      <c r="C98" s="28" t="n"/>
      <c r="D98" s="28" t="n"/>
      <c r="E98" s="29" t="n"/>
      <c r="F98" s="29" t="n"/>
      <c r="G98" s="28">
        <f>IF(AND(D98="Feito",E98&lt;&gt;"",F98&lt;&gt;""),F98-E98,"")</f>
        <v/>
      </c>
      <c r="H98" s="28">
        <f>IF(OR(D98="Feito",E98=""),"",TODAY()-E98)</f>
        <v/>
      </c>
      <c r="I98" s="28">
        <f>IF(D98="Feito","",IF(H98="","",IF(H98&gt;7,"⚠ atraso","")))</f>
        <v/>
      </c>
      <c r="J98" s="2" t="n"/>
      <c r="K98" s="2" t="n"/>
      <c r="L98" s="2" t="n"/>
    </row>
    <row r="99">
      <c r="A99" s="28" t="n"/>
      <c r="B99" s="28" t="n"/>
      <c r="C99" s="28" t="n"/>
      <c r="D99" s="28" t="n"/>
      <c r="E99" s="29" t="n"/>
      <c r="F99" s="29" t="n"/>
      <c r="G99" s="28">
        <f>IF(AND(D99="Feito",E99&lt;&gt;"",F99&lt;&gt;""),F99-E99,"")</f>
        <v/>
      </c>
      <c r="H99" s="28">
        <f>IF(OR(D99="Feito",E99=""),"",TODAY()-E99)</f>
        <v/>
      </c>
      <c r="I99" s="28">
        <f>IF(D99="Feito","",IF(H99="","",IF(H99&gt;7,"⚠ atraso","")))</f>
        <v/>
      </c>
      <c r="J99" s="2" t="n"/>
      <c r="K99" s="2" t="n"/>
      <c r="L99" s="2" t="n"/>
    </row>
    <row r="100">
      <c r="A100" s="28" t="n"/>
      <c r="B100" s="28" t="n"/>
      <c r="C100" s="28" t="n"/>
      <c r="D100" s="28" t="n"/>
      <c r="E100" s="29" t="n"/>
      <c r="F100" s="29" t="n"/>
      <c r="G100" s="28">
        <f>IF(AND(D100="Feito",E100&lt;&gt;"",F100&lt;&gt;""),F100-E100,"")</f>
        <v/>
      </c>
      <c r="H100" s="28">
        <f>IF(OR(D100="Feito",E100=""),"",TODAY()-E100)</f>
        <v/>
      </c>
      <c r="I100" s="28">
        <f>IF(D100="Feito","",IF(H100="","",IF(H100&gt;7,"⚠ atraso","")))</f>
        <v/>
      </c>
      <c r="J100" s="2" t="n"/>
      <c r="K100" s="2" t="n"/>
      <c r="L100" s="2" t="n"/>
    </row>
    <row r="101">
      <c r="A101" s="28" t="n"/>
      <c r="B101" s="28" t="n"/>
      <c r="C101" s="28" t="n"/>
      <c r="D101" s="28" t="n"/>
      <c r="E101" s="29" t="n"/>
      <c r="F101" s="29" t="n"/>
      <c r="G101" s="28">
        <f>IF(AND(D101="Feito",E101&lt;&gt;"",F101&lt;&gt;""),F101-E101,"")</f>
        <v/>
      </c>
      <c r="H101" s="28">
        <f>IF(OR(D101="Feito",E101=""),"",TODAY()-E101)</f>
        <v/>
      </c>
      <c r="I101" s="28">
        <f>IF(D101="Feito","",IF(H101="","",IF(H101&gt;7,"⚠ atraso","")))</f>
        <v/>
      </c>
      <c r="J101" s="2" t="n"/>
      <c r="K101" s="2" t="n"/>
      <c r="L101" s="2" t="n"/>
    </row>
    <row r="102">
      <c r="A102" s="28" t="n"/>
      <c r="B102" s="28" t="n"/>
      <c r="C102" s="28" t="n"/>
      <c r="D102" s="28" t="n"/>
      <c r="E102" s="29" t="n"/>
      <c r="F102" s="29" t="n"/>
      <c r="G102" s="28">
        <f>IF(AND(D102="Feito",E102&lt;&gt;"",F102&lt;&gt;""),F102-E102,"")</f>
        <v/>
      </c>
      <c r="H102" s="28">
        <f>IF(OR(D102="Feito",E102=""),"",TODAY()-E102)</f>
        <v/>
      </c>
      <c r="I102" s="28">
        <f>IF(D102="Feito","",IF(H102="","",IF(H102&gt;7,"⚠ atraso","")))</f>
        <v/>
      </c>
      <c r="J102" s="2" t="n"/>
      <c r="K102" s="2" t="n"/>
      <c r="L102" s="2" t="n"/>
    </row>
    <row r="103">
      <c r="A103" s="28" t="n"/>
      <c r="B103" s="28" t="n"/>
      <c r="C103" s="28" t="n"/>
      <c r="D103" s="28" t="n"/>
      <c r="E103" s="29" t="n"/>
      <c r="F103" s="29" t="n"/>
      <c r="G103" s="28">
        <f>IF(AND(D103="Feito",E103&lt;&gt;"",F103&lt;&gt;""),F103-E103,"")</f>
        <v/>
      </c>
      <c r="H103" s="28">
        <f>IF(OR(D103="Feito",E103=""),"",TODAY()-E103)</f>
        <v/>
      </c>
      <c r="I103" s="28">
        <f>IF(D103="Feito","",IF(H103="","",IF(H103&gt;7,"⚠ atraso","")))</f>
        <v/>
      </c>
      <c r="J103" s="2" t="n"/>
      <c r="K103" s="2" t="n"/>
      <c r="L103" s="2" t="n"/>
    </row>
    <row r="104">
      <c r="A104" s="28" t="n"/>
      <c r="B104" s="28" t="n"/>
      <c r="C104" s="28" t="n"/>
      <c r="D104" s="28" t="n"/>
      <c r="E104" s="29" t="n"/>
      <c r="F104" s="29" t="n"/>
      <c r="G104" s="28">
        <f>IF(AND(D104="Feito",E104&lt;&gt;"",F104&lt;&gt;""),F104-E104,"")</f>
        <v/>
      </c>
      <c r="H104" s="28">
        <f>IF(OR(D104="Feito",E104=""),"",TODAY()-E104)</f>
        <v/>
      </c>
      <c r="I104" s="28">
        <f>IF(D104="Feito","",IF(H104="","",IF(H104&gt;7,"⚠ atraso","")))</f>
        <v/>
      </c>
      <c r="J104" s="2" t="n"/>
      <c r="K104" s="2" t="n"/>
      <c r="L104" s="2" t="n"/>
    </row>
    <row r="105">
      <c r="A105" s="28" t="n"/>
      <c r="B105" s="28" t="n"/>
      <c r="C105" s="28" t="n"/>
      <c r="D105" s="28" t="n"/>
      <c r="E105" s="29" t="n"/>
      <c r="F105" s="29" t="n"/>
      <c r="G105" s="28">
        <f>IF(AND(D105="Feito",E105&lt;&gt;"",F105&lt;&gt;""),F105-E105,"")</f>
        <v/>
      </c>
      <c r="H105" s="28">
        <f>IF(OR(D105="Feito",E105=""),"",TODAY()-E105)</f>
        <v/>
      </c>
      <c r="I105" s="28">
        <f>IF(D105="Feito","",IF(H105="","",IF(H105&gt;7,"⚠ atraso","")))</f>
        <v/>
      </c>
      <c r="J105" s="2" t="n"/>
      <c r="K105" s="2" t="n"/>
      <c r="L105" s="2" t="n"/>
    </row>
    <row r="106">
      <c r="A106" s="28" t="n"/>
      <c r="B106" s="28" t="n"/>
      <c r="C106" s="28" t="n"/>
      <c r="D106" s="28" t="n"/>
      <c r="E106" s="29" t="n"/>
      <c r="F106" s="29" t="n"/>
      <c r="G106" s="28">
        <f>IF(AND(D106="Feito",E106&lt;&gt;"",F106&lt;&gt;""),F106-E106,"")</f>
        <v/>
      </c>
      <c r="H106" s="28">
        <f>IF(OR(D106="Feito",E106=""),"",TODAY()-E106)</f>
        <v/>
      </c>
      <c r="I106" s="28">
        <f>IF(D106="Feito","",IF(H106="","",IF(H106&gt;7,"⚠ atraso","")))</f>
        <v/>
      </c>
      <c r="J106" s="2" t="n"/>
      <c r="K106" s="2" t="n"/>
      <c r="L106" s="2" t="n"/>
    </row>
    <row r="107">
      <c r="A107" s="28" t="n"/>
      <c r="B107" s="28" t="n"/>
      <c r="C107" s="28" t="n"/>
      <c r="D107" s="28" t="n"/>
      <c r="E107" s="29" t="n"/>
      <c r="F107" s="29" t="n"/>
      <c r="G107" s="28">
        <f>IF(AND(D107="Feito",E107&lt;&gt;"",F107&lt;&gt;""),F107-E107,"")</f>
        <v/>
      </c>
      <c r="H107" s="28">
        <f>IF(OR(D107="Feito",E107=""),"",TODAY()-E107)</f>
        <v/>
      </c>
      <c r="I107" s="28">
        <f>IF(D107="Feito","",IF(H107="","",IF(H107&gt;7,"⚠ atraso","")))</f>
        <v/>
      </c>
      <c r="J107" s="2" t="n"/>
      <c r="K107" s="2" t="n"/>
      <c r="L107" s="2" t="n"/>
    </row>
    <row r="108">
      <c r="A108" s="28" t="n"/>
      <c r="B108" s="28" t="n"/>
      <c r="C108" s="28" t="n"/>
      <c r="D108" s="28" t="n"/>
      <c r="E108" s="29" t="n"/>
      <c r="F108" s="29" t="n"/>
      <c r="G108" s="28">
        <f>IF(AND(D108="Feito",E108&lt;&gt;"",F108&lt;&gt;""),F108-E108,"")</f>
        <v/>
      </c>
      <c r="H108" s="28">
        <f>IF(OR(D108="Feito",E108=""),"",TODAY()-E108)</f>
        <v/>
      </c>
      <c r="I108" s="28">
        <f>IF(D108="Feito","",IF(H108="","",IF(H108&gt;7,"⚠ atraso","")))</f>
        <v/>
      </c>
      <c r="J108" s="2" t="n"/>
      <c r="K108" s="2" t="n"/>
      <c r="L108" s="2" t="n"/>
    </row>
    <row r="109">
      <c r="A109" s="28" t="n"/>
      <c r="B109" s="28" t="n"/>
      <c r="C109" s="28" t="n"/>
      <c r="D109" s="28" t="n"/>
      <c r="E109" s="29" t="n"/>
      <c r="F109" s="29" t="n"/>
      <c r="G109" s="28">
        <f>IF(AND(D109="Feito",E109&lt;&gt;"",F109&lt;&gt;""),F109-E109,"")</f>
        <v/>
      </c>
      <c r="H109" s="28">
        <f>IF(OR(D109="Feito",E109=""),"",TODAY()-E109)</f>
        <v/>
      </c>
      <c r="I109" s="28">
        <f>IF(D109="Feito","",IF(H109="","",IF(H109&gt;7,"⚠ atraso","")))</f>
        <v/>
      </c>
      <c r="J109" s="2" t="n"/>
      <c r="K109" s="2" t="n"/>
      <c r="L109" s="2" t="n"/>
    </row>
    <row r="110">
      <c r="A110" s="28" t="n"/>
      <c r="B110" s="28" t="n"/>
      <c r="C110" s="28" t="n"/>
      <c r="D110" s="28" t="n"/>
      <c r="E110" s="29" t="n"/>
      <c r="F110" s="29" t="n"/>
      <c r="G110" s="28">
        <f>IF(AND(D110="Feito",E110&lt;&gt;"",F110&lt;&gt;""),F110-E110,"")</f>
        <v/>
      </c>
      <c r="H110" s="28">
        <f>IF(OR(D110="Feito",E110=""),"",TODAY()-E110)</f>
        <v/>
      </c>
      <c r="I110" s="28">
        <f>IF(D110="Feito","",IF(H110="","",IF(H110&gt;7,"⚠ atraso","")))</f>
        <v/>
      </c>
      <c r="J110" s="2" t="n"/>
      <c r="K110" s="2" t="n"/>
      <c r="L110" s="2" t="n"/>
    </row>
    <row r="111">
      <c r="A111" s="28" t="n"/>
      <c r="B111" s="28" t="n"/>
      <c r="C111" s="28" t="n"/>
      <c r="D111" s="28" t="n"/>
      <c r="E111" s="29" t="n"/>
      <c r="F111" s="29" t="n"/>
      <c r="G111" s="28">
        <f>IF(AND(D111="Feito",E111&lt;&gt;"",F111&lt;&gt;""),F111-E111,"")</f>
        <v/>
      </c>
      <c r="H111" s="28">
        <f>IF(OR(D111="Feito",E111=""),"",TODAY()-E111)</f>
        <v/>
      </c>
      <c r="I111" s="28">
        <f>IF(D111="Feito","",IF(H111="","",IF(H111&gt;7,"⚠ atraso","")))</f>
        <v/>
      </c>
      <c r="J111" s="2" t="n"/>
      <c r="K111" s="2" t="n"/>
      <c r="L111" s="2" t="n"/>
    </row>
    <row r="112">
      <c r="A112" s="28" t="n"/>
      <c r="B112" s="28" t="n"/>
      <c r="C112" s="28" t="n"/>
      <c r="D112" s="28" t="n"/>
      <c r="E112" s="29" t="n"/>
      <c r="F112" s="29" t="n"/>
      <c r="G112" s="28">
        <f>IF(AND(D112="Feito",E112&lt;&gt;"",F112&lt;&gt;""),F112-E112,"")</f>
        <v/>
      </c>
      <c r="H112" s="28">
        <f>IF(OR(D112="Feito",E112=""),"",TODAY()-E112)</f>
        <v/>
      </c>
      <c r="I112" s="28">
        <f>IF(D112="Feito","",IF(H112="","",IF(H112&gt;7,"⚠ atraso","")))</f>
        <v/>
      </c>
      <c r="J112" s="2" t="n"/>
      <c r="K112" s="2" t="n"/>
      <c r="L112" s="2" t="n"/>
    </row>
    <row r="113">
      <c r="A113" s="28" t="n"/>
      <c r="B113" s="28" t="n"/>
      <c r="C113" s="28" t="n"/>
      <c r="D113" s="28" t="n"/>
      <c r="E113" s="29" t="n"/>
      <c r="F113" s="29" t="n"/>
      <c r="G113" s="28">
        <f>IF(AND(D113="Feito",E113&lt;&gt;"",F113&lt;&gt;""),F113-E113,"")</f>
        <v/>
      </c>
      <c r="H113" s="28">
        <f>IF(OR(D113="Feito",E113=""),"",TODAY()-E113)</f>
        <v/>
      </c>
      <c r="I113" s="28">
        <f>IF(D113="Feito","",IF(H113="","",IF(H113&gt;7,"⚠ atraso","")))</f>
        <v/>
      </c>
      <c r="J113" s="2" t="n"/>
      <c r="K113" s="2" t="n"/>
      <c r="L113" s="2" t="n"/>
    </row>
    <row r="114">
      <c r="A114" s="28" t="n"/>
      <c r="B114" s="28" t="n"/>
      <c r="C114" s="28" t="n"/>
      <c r="D114" s="28" t="n"/>
      <c r="E114" s="29" t="n"/>
      <c r="F114" s="29" t="n"/>
      <c r="G114" s="28">
        <f>IF(AND(D114="Feito",E114&lt;&gt;"",F114&lt;&gt;""),F114-E114,"")</f>
        <v/>
      </c>
      <c r="H114" s="28">
        <f>IF(OR(D114="Feito",E114=""),"",TODAY()-E114)</f>
        <v/>
      </c>
      <c r="I114" s="28">
        <f>IF(D114="Feito","",IF(H114="","",IF(H114&gt;7,"⚠ atraso","")))</f>
        <v/>
      </c>
      <c r="J114" s="2" t="n"/>
      <c r="K114" s="2" t="n"/>
      <c r="L114" s="2" t="n"/>
    </row>
    <row r="115">
      <c r="A115" s="28" t="n"/>
      <c r="B115" s="28" t="n"/>
      <c r="C115" s="28" t="n"/>
      <c r="D115" s="28" t="n"/>
      <c r="E115" s="29" t="n"/>
      <c r="F115" s="29" t="n"/>
      <c r="G115" s="28">
        <f>IF(AND(D115="Feito",E115&lt;&gt;"",F115&lt;&gt;""),F115-E115,"")</f>
        <v/>
      </c>
      <c r="H115" s="28">
        <f>IF(OR(D115="Feito",E115=""),"",TODAY()-E115)</f>
        <v/>
      </c>
      <c r="I115" s="28">
        <f>IF(D115="Feito","",IF(H115="","",IF(H115&gt;7,"⚠ atraso","")))</f>
        <v/>
      </c>
      <c r="J115" s="2" t="n"/>
      <c r="K115" s="2" t="n"/>
      <c r="L115" s="2" t="n"/>
    </row>
    <row r="116">
      <c r="A116" s="28" t="n"/>
      <c r="B116" s="28" t="n"/>
      <c r="C116" s="28" t="n"/>
      <c r="D116" s="28" t="n"/>
      <c r="E116" s="29" t="n"/>
      <c r="F116" s="29" t="n"/>
      <c r="G116" s="28">
        <f>IF(AND(D116="Feito",E116&lt;&gt;"",F116&lt;&gt;""),F116-E116,"")</f>
        <v/>
      </c>
      <c r="H116" s="28">
        <f>IF(OR(D116="Feito",E116=""),"",TODAY()-E116)</f>
        <v/>
      </c>
      <c r="I116" s="28">
        <f>IF(D116="Feito","",IF(H116="","",IF(H116&gt;7,"⚠ atraso","")))</f>
        <v/>
      </c>
      <c r="J116" s="2" t="n"/>
      <c r="K116" s="2" t="n"/>
      <c r="L116" s="2" t="n"/>
    </row>
    <row r="117">
      <c r="A117" s="28" t="n"/>
      <c r="B117" s="28" t="n"/>
      <c r="C117" s="28" t="n"/>
      <c r="D117" s="28" t="n"/>
      <c r="E117" s="29" t="n"/>
      <c r="F117" s="29" t="n"/>
      <c r="G117" s="28">
        <f>IF(AND(D117="Feito",E117&lt;&gt;"",F117&lt;&gt;""),F117-E117,"")</f>
        <v/>
      </c>
      <c r="H117" s="28">
        <f>IF(OR(D117="Feito",E117=""),"",TODAY()-E117)</f>
        <v/>
      </c>
      <c r="I117" s="28">
        <f>IF(D117="Feito","",IF(H117="","",IF(H117&gt;7,"⚠ atraso","")))</f>
        <v/>
      </c>
      <c r="J117" s="2" t="n"/>
      <c r="K117" s="2" t="n"/>
      <c r="L117" s="2" t="n"/>
    </row>
    <row r="118">
      <c r="A118" s="28" t="n"/>
      <c r="B118" s="28" t="n"/>
      <c r="C118" s="28" t="n"/>
      <c r="D118" s="28" t="n"/>
      <c r="E118" s="29" t="n"/>
      <c r="F118" s="29" t="n"/>
      <c r="G118" s="28">
        <f>IF(AND(D118="Feito",E118&lt;&gt;"",F118&lt;&gt;""),F118-E118,"")</f>
        <v/>
      </c>
      <c r="H118" s="28">
        <f>IF(OR(D118="Feito",E118=""),"",TODAY()-E118)</f>
        <v/>
      </c>
      <c r="I118" s="28">
        <f>IF(D118="Feito","",IF(H118="","",IF(H118&gt;7,"⚠ atraso","")))</f>
        <v/>
      </c>
      <c r="J118" s="2" t="n"/>
      <c r="K118" s="2" t="n"/>
      <c r="L118" s="2" t="n"/>
    </row>
    <row r="119">
      <c r="A119" s="28" t="n"/>
      <c r="B119" s="28" t="n"/>
      <c r="C119" s="28" t="n"/>
      <c r="D119" s="28" t="n"/>
      <c r="E119" s="29" t="n"/>
      <c r="F119" s="29" t="n"/>
      <c r="G119" s="28">
        <f>IF(AND(D119="Feito",E119&lt;&gt;"",F119&lt;&gt;""),F119-E119,"")</f>
        <v/>
      </c>
      <c r="H119" s="28">
        <f>IF(OR(D119="Feito",E119=""),"",TODAY()-E119)</f>
        <v/>
      </c>
      <c r="I119" s="28">
        <f>IF(D119="Feito","",IF(H119="","",IF(H119&gt;7,"⚠ atraso","")))</f>
        <v/>
      </c>
      <c r="J119" s="2" t="n"/>
      <c r="K119" s="2" t="n"/>
      <c r="L119" s="2" t="n"/>
    </row>
    <row r="120">
      <c r="A120" s="28" t="n"/>
      <c r="B120" s="28" t="n"/>
      <c r="C120" s="28" t="n"/>
      <c r="D120" s="28" t="n"/>
      <c r="E120" s="29" t="n"/>
      <c r="F120" s="29" t="n"/>
      <c r="G120" s="28">
        <f>IF(AND(D120="Feito",E120&lt;&gt;"",F120&lt;&gt;""),F120-E120,"")</f>
        <v/>
      </c>
      <c r="H120" s="28">
        <f>IF(OR(D120="Feito",E120=""),"",TODAY()-E120)</f>
        <v/>
      </c>
      <c r="I120" s="28">
        <f>IF(D120="Feito","",IF(H120="","",IF(H120&gt;7,"⚠ atraso","")))</f>
        <v/>
      </c>
      <c r="J120" s="2" t="n"/>
      <c r="K120" s="2" t="n"/>
      <c r="L120" s="2" t="n"/>
    </row>
    <row r="121">
      <c r="A121" s="28" t="n"/>
      <c r="B121" s="28" t="n"/>
      <c r="C121" s="28" t="n"/>
      <c r="D121" s="28" t="n"/>
      <c r="E121" s="29" t="n"/>
      <c r="F121" s="29" t="n"/>
      <c r="G121" s="28">
        <f>IF(AND(D121="Feito",E121&lt;&gt;"",F121&lt;&gt;""),F121-E121,"")</f>
        <v/>
      </c>
      <c r="H121" s="28">
        <f>IF(OR(D121="Feito",E121=""),"",TODAY()-E121)</f>
        <v/>
      </c>
      <c r="I121" s="28">
        <f>IF(D121="Feito","",IF(H121="","",IF(H121&gt;7,"⚠ atraso","")))</f>
        <v/>
      </c>
      <c r="J121" s="2" t="n"/>
      <c r="K121" s="2" t="n"/>
      <c r="L121" s="2" t="n"/>
    </row>
    <row r="122">
      <c r="A122" s="28" t="n"/>
      <c r="B122" s="28" t="n"/>
      <c r="C122" s="28" t="n"/>
      <c r="D122" s="28" t="n"/>
      <c r="E122" s="29" t="n"/>
      <c r="F122" s="29" t="n"/>
      <c r="G122" s="28">
        <f>IF(AND(D122="Feito",E122&lt;&gt;"",F122&lt;&gt;""),F122-E122,"")</f>
        <v/>
      </c>
      <c r="H122" s="28">
        <f>IF(OR(D122="Feito",E122=""),"",TODAY()-E122)</f>
        <v/>
      </c>
      <c r="I122" s="28">
        <f>IF(D122="Feito","",IF(H122="","",IF(H122&gt;7,"⚠ atraso","")))</f>
        <v/>
      </c>
      <c r="J122" s="2" t="n"/>
      <c r="K122" s="2" t="n"/>
      <c r="L122" s="2" t="n"/>
    </row>
    <row r="123">
      <c r="A123" s="28" t="n"/>
      <c r="B123" s="28" t="n"/>
      <c r="C123" s="28" t="n"/>
      <c r="D123" s="28" t="n"/>
      <c r="E123" s="29" t="n"/>
      <c r="F123" s="29" t="n"/>
      <c r="G123" s="28">
        <f>IF(AND(D123="Feito",E123&lt;&gt;"",F123&lt;&gt;""),F123-E123,"")</f>
        <v/>
      </c>
      <c r="H123" s="28">
        <f>IF(OR(D123="Feito",E123=""),"",TODAY()-E123)</f>
        <v/>
      </c>
      <c r="I123" s="28">
        <f>IF(D123="Feito","",IF(H123="","",IF(H123&gt;7,"⚠ atraso","")))</f>
        <v/>
      </c>
      <c r="J123" s="2" t="n"/>
      <c r="K123" s="2" t="n"/>
      <c r="L123" s="2" t="n"/>
    </row>
    <row r="124">
      <c r="A124" s="28" t="n"/>
      <c r="B124" s="28" t="n"/>
      <c r="C124" s="28" t="n"/>
      <c r="D124" s="28" t="n"/>
      <c r="E124" s="29" t="n"/>
      <c r="F124" s="29" t="n"/>
      <c r="G124" s="28">
        <f>IF(AND(D124="Feito",E124&lt;&gt;"",F124&lt;&gt;""),F124-E124,"")</f>
        <v/>
      </c>
      <c r="H124" s="28">
        <f>IF(OR(D124="Feito",E124=""),"",TODAY()-E124)</f>
        <v/>
      </c>
      <c r="I124" s="28">
        <f>IF(D124="Feito","",IF(H124="","",IF(H124&gt;7,"⚠ atraso","")))</f>
        <v/>
      </c>
      <c r="J124" s="2" t="n"/>
      <c r="K124" s="2" t="n"/>
      <c r="L124" s="2" t="n"/>
    </row>
    <row r="125">
      <c r="A125" s="28" t="n"/>
      <c r="B125" s="28" t="n"/>
      <c r="C125" s="28" t="n"/>
      <c r="D125" s="28" t="n"/>
      <c r="E125" s="29" t="n"/>
      <c r="F125" s="29" t="n"/>
      <c r="G125" s="28">
        <f>IF(AND(D125="Feito",E125&lt;&gt;"",F125&lt;&gt;""),F125-E125,"")</f>
        <v/>
      </c>
      <c r="H125" s="28">
        <f>IF(OR(D125="Feito",E125=""),"",TODAY()-E125)</f>
        <v/>
      </c>
      <c r="I125" s="28">
        <f>IF(D125="Feito","",IF(H125="","",IF(H125&gt;7,"⚠ atraso","")))</f>
        <v/>
      </c>
      <c r="J125" s="2" t="n"/>
      <c r="K125" s="2" t="n"/>
      <c r="L125" s="2" t="n"/>
    </row>
    <row r="126">
      <c r="A126" s="28" t="n"/>
      <c r="B126" s="28" t="n"/>
      <c r="C126" s="28" t="n"/>
      <c r="D126" s="28" t="n"/>
      <c r="E126" s="29" t="n"/>
      <c r="F126" s="29" t="n"/>
      <c r="G126" s="28">
        <f>IF(AND(D126="Feito",E126&lt;&gt;"",F126&lt;&gt;""),F126-E126,"")</f>
        <v/>
      </c>
      <c r="H126" s="28">
        <f>IF(OR(D126="Feito",E126=""),"",TODAY()-E126)</f>
        <v/>
      </c>
      <c r="I126" s="28">
        <f>IF(D126="Feito","",IF(H126="","",IF(H126&gt;7,"⚠ atraso","")))</f>
        <v/>
      </c>
      <c r="J126" s="2" t="n"/>
      <c r="K126" s="2" t="n"/>
      <c r="L126" s="2" t="n"/>
    </row>
    <row r="127">
      <c r="A127" s="28" t="n"/>
      <c r="B127" s="28" t="n"/>
      <c r="C127" s="28" t="n"/>
      <c r="D127" s="28" t="n"/>
      <c r="E127" s="29" t="n"/>
      <c r="F127" s="29" t="n"/>
      <c r="G127" s="28">
        <f>IF(AND(D127="Feito",E127&lt;&gt;"",F127&lt;&gt;""),F127-E127,"")</f>
        <v/>
      </c>
      <c r="H127" s="28">
        <f>IF(OR(D127="Feito",E127=""),"",TODAY()-E127)</f>
        <v/>
      </c>
      <c r="I127" s="28">
        <f>IF(D127="Feito","",IF(H127="","",IF(H127&gt;7,"⚠ atraso","")))</f>
        <v/>
      </c>
      <c r="J127" s="2" t="n"/>
      <c r="K127" s="2" t="n"/>
      <c r="L127" s="2" t="n"/>
    </row>
    <row r="128">
      <c r="A128" s="28" t="n"/>
      <c r="B128" s="28" t="n"/>
      <c r="C128" s="28" t="n"/>
      <c r="D128" s="28" t="n"/>
      <c r="E128" s="29" t="n"/>
      <c r="F128" s="29" t="n"/>
      <c r="G128" s="28">
        <f>IF(AND(D128="Feito",E128&lt;&gt;"",F128&lt;&gt;""),F128-E128,"")</f>
        <v/>
      </c>
      <c r="H128" s="28">
        <f>IF(OR(D128="Feito",E128=""),"",TODAY()-E128)</f>
        <v/>
      </c>
      <c r="I128" s="28">
        <f>IF(D128="Feito","",IF(H128="","",IF(H128&gt;7,"⚠ atraso","")))</f>
        <v/>
      </c>
      <c r="J128" s="2" t="n"/>
      <c r="K128" s="2" t="n"/>
      <c r="L128" s="2" t="n"/>
    </row>
    <row r="129">
      <c r="A129" s="28" t="n"/>
      <c r="B129" s="28" t="n"/>
      <c r="C129" s="28" t="n"/>
      <c r="D129" s="28" t="n"/>
      <c r="E129" s="29" t="n"/>
      <c r="F129" s="29" t="n"/>
      <c r="G129" s="28">
        <f>IF(AND(D129="Feito",E129&lt;&gt;"",F129&lt;&gt;""),F129-E129,"")</f>
        <v/>
      </c>
      <c r="H129" s="28">
        <f>IF(OR(D129="Feito",E129=""),"",TODAY()-E129)</f>
        <v/>
      </c>
      <c r="I129" s="28">
        <f>IF(D129="Feito","",IF(H129="","",IF(H129&gt;7,"⚠ atraso","")))</f>
        <v/>
      </c>
      <c r="J129" s="2" t="n"/>
      <c r="K129" s="2" t="n"/>
      <c r="L129" s="2" t="n"/>
    </row>
    <row r="130">
      <c r="A130" s="28" t="n"/>
      <c r="B130" s="28" t="n"/>
      <c r="C130" s="28" t="n"/>
      <c r="D130" s="28" t="n"/>
      <c r="E130" s="29" t="n"/>
      <c r="F130" s="29" t="n"/>
      <c r="G130" s="28">
        <f>IF(AND(D130="Feito",E130&lt;&gt;"",F130&lt;&gt;""),F130-E130,"")</f>
        <v/>
      </c>
      <c r="H130" s="28">
        <f>IF(OR(D130="Feito",E130=""),"",TODAY()-E130)</f>
        <v/>
      </c>
      <c r="I130" s="28">
        <f>IF(D130="Feito","",IF(H130="","",IF(H130&gt;7,"⚠ atraso","")))</f>
        <v/>
      </c>
      <c r="J130" s="2" t="n"/>
      <c r="K130" s="2" t="n"/>
      <c r="L130" s="2" t="n"/>
    </row>
    <row r="131">
      <c r="A131" s="28" t="n"/>
      <c r="B131" s="28" t="n"/>
      <c r="C131" s="28" t="n"/>
      <c r="D131" s="28" t="n"/>
      <c r="E131" s="29" t="n"/>
      <c r="F131" s="29" t="n"/>
      <c r="G131" s="28">
        <f>IF(AND(D131="Feito",E131&lt;&gt;"",F131&lt;&gt;""),F131-E131,"")</f>
        <v/>
      </c>
      <c r="H131" s="28">
        <f>IF(OR(D131="Feito",E131=""),"",TODAY()-E131)</f>
        <v/>
      </c>
      <c r="I131" s="28">
        <f>IF(D131="Feito","",IF(H131="","",IF(H131&gt;7,"⚠ atraso","")))</f>
        <v/>
      </c>
      <c r="J131" s="2" t="n"/>
      <c r="K131" s="2" t="n"/>
      <c r="L131" s="2" t="n"/>
    </row>
    <row r="132">
      <c r="A132" s="28" t="n"/>
      <c r="B132" s="28" t="n"/>
      <c r="C132" s="28" t="n"/>
      <c r="D132" s="28" t="n"/>
      <c r="E132" s="29" t="n"/>
      <c r="F132" s="29" t="n"/>
      <c r="G132" s="28">
        <f>IF(AND(D132="Feito",E132&lt;&gt;"",F132&lt;&gt;""),F132-E132,"")</f>
        <v/>
      </c>
      <c r="H132" s="28">
        <f>IF(OR(D132="Feito",E132=""),"",TODAY()-E132)</f>
        <v/>
      </c>
      <c r="I132" s="28">
        <f>IF(D132="Feito","",IF(H132="","",IF(H132&gt;7,"⚠ atraso","")))</f>
        <v/>
      </c>
      <c r="J132" s="2" t="n"/>
      <c r="K132" s="2" t="n"/>
      <c r="L132" s="2" t="n"/>
    </row>
    <row r="133">
      <c r="A133" s="28" t="n"/>
      <c r="B133" s="28" t="n"/>
      <c r="C133" s="28" t="n"/>
      <c r="D133" s="28" t="n"/>
      <c r="E133" s="29" t="n"/>
      <c r="F133" s="29" t="n"/>
      <c r="G133" s="28">
        <f>IF(AND(D133="Feito",E133&lt;&gt;"",F133&lt;&gt;""),F133-E133,"")</f>
        <v/>
      </c>
      <c r="H133" s="28">
        <f>IF(OR(D133="Feito",E133=""),"",TODAY()-E133)</f>
        <v/>
      </c>
      <c r="I133" s="28">
        <f>IF(D133="Feito","",IF(H133="","",IF(H133&gt;7,"⚠ atraso","")))</f>
        <v/>
      </c>
      <c r="J133" s="2" t="n"/>
      <c r="K133" s="2" t="n"/>
      <c r="L133" s="2" t="n"/>
    </row>
    <row r="134">
      <c r="A134" s="28" t="n"/>
      <c r="B134" s="28" t="n"/>
      <c r="C134" s="28" t="n"/>
      <c r="D134" s="28" t="n"/>
      <c r="E134" s="29" t="n"/>
      <c r="F134" s="29" t="n"/>
      <c r="G134" s="28">
        <f>IF(AND(D134="Feito",E134&lt;&gt;"",F134&lt;&gt;""),F134-E134,"")</f>
        <v/>
      </c>
      <c r="H134" s="28">
        <f>IF(OR(D134="Feito",E134=""),"",TODAY()-E134)</f>
        <v/>
      </c>
      <c r="I134" s="28">
        <f>IF(D134="Feito","",IF(H134="","",IF(H134&gt;7,"⚠ atraso","")))</f>
        <v/>
      </c>
      <c r="J134" s="2" t="n"/>
      <c r="K134" s="2" t="n"/>
      <c r="L134" s="2" t="n"/>
    </row>
    <row r="135">
      <c r="A135" s="28" t="n"/>
      <c r="B135" s="28" t="n"/>
      <c r="C135" s="28" t="n"/>
      <c r="D135" s="28" t="n"/>
      <c r="E135" s="29" t="n"/>
      <c r="F135" s="29" t="n"/>
      <c r="G135" s="28">
        <f>IF(AND(D135="Feito",E135&lt;&gt;"",F135&lt;&gt;""),F135-E135,"")</f>
        <v/>
      </c>
      <c r="H135" s="28">
        <f>IF(OR(D135="Feito",E135=""),"",TODAY()-E135)</f>
        <v/>
      </c>
      <c r="I135" s="28">
        <f>IF(D135="Feito","",IF(H135="","",IF(H135&gt;7,"⚠ atraso","")))</f>
        <v/>
      </c>
      <c r="J135" s="2" t="n"/>
      <c r="K135" s="2" t="n"/>
      <c r="L135" s="2" t="n"/>
    </row>
    <row r="136">
      <c r="A136" s="28" t="n"/>
      <c r="B136" s="28" t="n"/>
      <c r="C136" s="28" t="n"/>
      <c r="D136" s="28" t="n"/>
      <c r="E136" s="29" t="n"/>
      <c r="F136" s="29" t="n"/>
      <c r="G136" s="28">
        <f>IF(AND(D136="Feito",E136&lt;&gt;"",F136&lt;&gt;""),F136-E136,"")</f>
        <v/>
      </c>
      <c r="H136" s="28">
        <f>IF(OR(D136="Feito",E136=""),"",TODAY()-E136)</f>
        <v/>
      </c>
      <c r="I136" s="28">
        <f>IF(D136="Feito","",IF(H136="","",IF(H136&gt;7,"⚠ atraso","")))</f>
        <v/>
      </c>
      <c r="J136" s="2" t="n"/>
      <c r="K136" s="2" t="n"/>
      <c r="L136" s="2" t="n"/>
    </row>
    <row r="137">
      <c r="A137" s="28" t="n"/>
      <c r="B137" s="28" t="n"/>
      <c r="C137" s="28" t="n"/>
      <c r="D137" s="28" t="n"/>
      <c r="E137" s="29" t="n"/>
      <c r="F137" s="29" t="n"/>
      <c r="G137" s="28">
        <f>IF(AND(D137="Feito",E137&lt;&gt;"",F137&lt;&gt;""),F137-E137,"")</f>
        <v/>
      </c>
      <c r="H137" s="28">
        <f>IF(OR(D137="Feito",E137=""),"",TODAY()-E137)</f>
        <v/>
      </c>
      <c r="I137" s="28">
        <f>IF(D137="Feito","",IF(H137="","",IF(H137&gt;7,"⚠ atraso","")))</f>
        <v/>
      </c>
      <c r="J137" s="2" t="n"/>
      <c r="K137" s="2" t="n"/>
      <c r="L137" s="2" t="n"/>
    </row>
    <row r="138">
      <c r="A138" s="28" t="n"/>
      <c r="B138" s="28" t="n"/>
      <c r="C138" s="28" t="n"/>
      <c r="D138" s="28" t="n"/>
      <c r="E138" s="29" t="n"/>
      <c r="F138" s="29" t="n"/>
      <c r="G138" s="28">
        <f>IF(AND(D138="Feito",E138&lt;&gt;"",F138&lt;&gt;""),F138-E138,"")</f>
        <v/>
      </c>
      <c r="H138" s="28">
        <f>IF(OR(D138="Feito",E138=""),"",TODAY()-E138)</f>
        <v/>
      </c>
      <c r="I138" s="28">
        <f>IF(D138="Feito","",IF(H138="","",IF(H138&gt;7,"⚠ atraso","")))</f>
        <v/>
      </c>
      <c r="J138" s="2" t="n"/>
      <c r="K138" s="2" t="n"/>
      <c r="L138" s="2" t="n"/>
    </row>
    <row r="139">
      <c r="A139" s="28" t="n"/>
      <c r="B139" s="28" t="n"/>
      <c r="C139" s="28" t="n"/>
      <c r="D139" s="28" t="n"/>
      <c r="E139" s="29" t="n"/>
      <c r="F139" s="29" t="n"/>
      <c r="G139" s="28">
        <f>IF(AND(D139="Feito",E139&lt;&gt;"",F139&lt;&gt;""),F139-E139,"")</f>
        <v/>
      </c>
      <c r="H139" s="28">
        <f>IF(OR(D139="Feito",E139=""),"",TODAY()-E139)</f>
        <v/>
      </c>
      <c r="I139" s="28">
        <f>IF(D139="Feito","",IF(H139="","",IF(H139&gt;7,"⚠ atraso","")))</f>
        <v/>
      </c>
      <c r="J139" s="2" t="n"/>
      <c r="K139" s="2" t="n"/>
      <c r="L139" s="2" t="n"/>
    </row>
    <row r="140">
      <c r="A140" s="28" t="n"/>
      <c r="B140" s="28" t="n"/>
      <c r="C140" s="28" t="n"/>
      <c r="D140" s="28" t="n"/>
      <c r="E140" s="29" t="n"/>
      <c r="F140" s="29" t="n"/>
      <c r="G140" s="28">
        <f>IF(AND(D140="Feito",E140&lt;&gt;"",F140&lt;&gt;""),F140-E140,"")</f>
        <v/>
      </c>
      <c r="H140" s="28">
        <f>IF(OR(D140="Feito",E140=""),"",TODAY()-E140)</f>
        <v/>
      </c>
      <c r="I140" s="28">
        <f>IF(D140="Feito","",IF(H140="","",IF(H140&gt;7,"⚠ atraso","")))</f>
        <v/>
      </c>
      <c r="J140" s="2" t="n"/>
      <c r="K140" s="2" t="n"/>
      <c r="L140" s="2" t="n"/>
    </row>
    <row r="141">
      <c r="A141" s="28" t="n"/>
      <c r="B141" s="28" t="n"/>
      <c r="C141" s="28" t="n"/>
      <c r="D141" s="28" t="n"/>
      <c r="E141" s="29" t="n"/>
      <c r="F141" s="29" t="n"/>
      <c r="G141" s="28">
        <f>IF(AND(D141="Feito",E141&lt;&gt;"",F141&lt;&gt;""),F141-E141,"")</f>
        <v/>
      </c>
      <c r="H141" s="28">
        <f>IF(OR(D141="Feito",E141=""),"",TODAY()-E141)</f>
        <v/>
      </c>
      <c r="I141" s="28">
        <f>IF(D141="Feito","",IF(H141="","",IF(H141&gt;7,"⚠ atraso","")))</f>
        <v/>
      </c>
      <c r="J141" s="2" t="n"/>
      <c r="K141" s="2" t="n"/>
      <c r="L141" s="2" t="n"/>
    </row>
    <row r="142">
      <c r="A142" s="28" t="n"/>
      <c r="B142" s="28" t="n"/>
      <c r="C142" s="28" t="n"/>
      <c r="D142" s="28" t="n"/>
      <c r="E142" s="29" t="n"/>
      <c r="F142" s="29" t="n"/>
      <c r="G142" s="28">
        <f>IF(AND(D142="Feito",E142&lt;&gt;"",F142&lt;&gt;""),F142-E142,"")</f>
        <v/>
      </c>
      <c r="H142" s="28">
        <f>IF(OR(D142="Feito",E142=""),"",TODAY()-E142)</f>
        <v/>
      </c>
      <c r="I142" s="28">
        <f>IF(D142="Feito","",IF(H142="","",IF(H142&gt;7,"⚠ atraso","")))</f>
        <v/>
      </c>
      <c r="J142" s="2" t="n"/>
      <c r="K142" s="2" t="n"/>
      <c r="L142" s="2" t="n"/>
    </row>
    <row r="143">
      <c r="A143" s="28" t="n"/>
      <c r="B143" s="28" t="n"/>
      <c r="C143" s="28" t="n"/>
      <c r="D143" s="28" t="n"/>
      <c r="E143" s="29" t="n"/>
      <c r="F143" s="29" t="n"/>
      <c r="G143" s="28">
        <f>IF(AND(D143="Feito",E143&lt;&gt;"",F143&lt;&gt;""),F143-E143,"")</f>
        <v/>
      </c>
      <c r="H143" s="28">
        <f>IF(OR(D143="Feito",E143=""),"",TODAY()-E143)</f>
        <v/>
      </c>
      <c r="I143" s="28">
        <f>IF(D143="Feito","",IF(H143="","",IF(H143&gt;7,"⚠ atraso","")))</f>
        <v/>
      </c>
      <c r="J143" s="2" t="n"/>
      <c r="K143" s="2" t="n"/>
      <c r="L143" s="2" t="n"/>
    </row>
    <row r="144">
      <c r="A144" s="28" t="n"/>
      <c r="B144" s="28" t="n"/>
      <c r="C144" s="28" t="n"/>
      <c r="D144" s="28" t="n"/>
      <c r="E144" s="29" t="n"/>
      <c r="F144" s="29" t="n"/>
      <c r="G144" s="28">
        <f>IF(AND(D144="Feito",E144&lt;&gt;"",F144&lt;&gt;""),F144-E144,"")</f>
        <v/>
      </c>
      <c r="H144" s="28">
        <f>IF(OR(D144="Feito",E144=""),"",TODAY()-E144)</f>
        <v/>
      </c>
      <c r="I144" s="28">
        <f>IF(D144="Feito","",IF(H144="","",IF(H144&gt;7,"⚠ atraso","")))</f>
        <v/>
      </c>
      <c r="J144" s="2" t="n"/>
      <c r="K144" s="2" t="n"/>
      <c r="L144" s="2" t="n"/>
    </row>
    <row r="145">
      <c r="A145" s="28" t="n"/>
      <c r="B145" s="28" t="n"/>
      <c r="C145" s="28" t="n"/>
      <c r="D145" s="28" t="n"/>
      <c r="E145" s="29" t="n"/>
      <c r="F145" s="29" t="n"/>
      <c r="G145" s="28">
        <f>IF(AND(D145="Feito",E145&lt;&gt;"",F145&lt;&gt;""),F145-E145,"")</f>
        <v/>
      </c>
      <c r="H145" s="28">
        <f>IF(OR(D145="Feito",E145=""),"",TODAY()-E145)</f>
        <v/>
      </c>
      <c r="I145" s="28">
        <f>IF(D145="Feito","",IF(H145="","",IF(H145&gt;7,"⚠ atraso","")))</f>
        <v/>
      </c>
      <c r="J145" s="2" t="n"/>
      <c r="K145" s="2" t="n"/>
      <c r="L145" s="2" t="n"/>
    </row>
    <row r="146">
      <c r="A146" s="28" t="n"/>
      <c r="B146" s="28" t="n"/>
      <c r="C146" s="28" t="n"/>
      <c r="D146" s="28" t="n"/>
      <c r="E146" s="29" t="n"/>
      <c r="F146" s="29" t="n"/>
      <c r="G146" s="28">
        <f>IF(AND(D146="Feito",E146&lt;&gt;"",F146&lt;&gt;""),F146-E146,"")</f>
        <v/>
      </c>
      <c r="H146" s="28">
        <f>IF(OR(D146="Feito",E146=""),"",TODAY()-E146)</f>
        <v/>
      </c>
      <c r="I146" s="28">
        <f>IF(D146="Feito","",IF(H146="","",IF(H146&gt;7,"⚠ atraso","")))</f>
        <v/>
      </c>
      <c r="J146" s="2" t="n"/>
      <c r="K146" s="2" t="n"/>
      <c r="L146" s="2" t="n"/>
    </row>
    <row r="147">
      <c r="A147" s="28" t="n"/>
      <c r="B147" s="28" t="n"/>
      <c r="C147" s="28" t="n"/>
      <c r="D147" s="28" t="n"/>
      <c r="E147" s="29" t="n"/>
      <c r="F147" s="29" t="n"/>
      <c r="G147" s="28">
        <f>IF(AND(D147="Feito",E147&lt;&gt;"",F147&lt;&gt;""),F147-E147,"")</f>
        <v/>
      </c>
      <c r="H147" s="28">
        <f>IF(OR(D147="Feito",E147=""),"",TODAY()-E147)</f>
        <v/>
      </c>
      <c r="I147" s="28">
        <f>IF(D147="Feito","",IF(H147="","",IF(H147&gt;7,"⚠ atraso","")))</f>
        <v/>
      </c>
      <c r="J147" s="2" t="n"/>
      <c r="K147" s="2" t="n"/>
      <c r="L147" s="2" t="n"/>
    </row>
    <row r="148">
      <c r="A148" s="28" t="n"/>
      <c r="B148" s="28" t="n"/>
      <c r="C148" s="28" t="n"/>
      <c r="D148" s="28" t="n"/>
      <c r="E148" s="29" t="n"/>
      <c r="F148" s="29" t="n"/>
      <c r="G148" s="28">
        <f>IF(AND(D148="Feito",E148&lt;&gt;"",F148&lt;&gt;""),F148-E148,"")</f>
        <v/>
      </c>
      <c r="H148" s="28">
        <f>IF(OR(D148="Feito",E148=""),"",TODAY()-E148)</f>
        <v/>
      </c>
      <c r="I148" s="28">
        <f>IF(D148="Feito","",IF(H148="","",IF(H148&gt;7,"⚠ atraso","")))</f>
        <v/>
      </c>
      <c r="J148" s="2" t="n"/>
      <c r="K148" s="2" t="n"/>
      <c r="L148" s="2" t="n"/>
    </row>
    <row r="149">
      <c r="A149" s="28" t="n"/>
      <c r="B149" s="28" t="n"/>
      <c r="C149" s="28" t="n"/>
      <c r="D149" s="28" t="n"/>
      <c r="E149" s="29" t="n"/>
      <c r="F149" s="29" t="n"/>
      <c r="G149" s="28">
        <f>IF(AND(D149="Feito",E149&lt;&gt;"",F149&lt;&gt;""),F149-E149,"")</f>
        <v/>
      </c>
      <c r="H149" s="28">
        <f>IF(OR(D149="Feito",E149=""),"",TODAY()-E149)</f>
        <v/>
      </c>
      <c r="I149" s="28">
        <f>IF(D149="Feito","",IF(H149="","",IF(H149&gt;7,"⚠ atraso","")))</f>
        <v/>
      </c>
      <c r="J149" s="2" t="n"/>
      <c r="K149" s="2" t="n"/>
      <c r="L149" s="2" t="n"/>
    </row>
    <row r="150">
      <c r="A150" s="28" t="n"/>
      <c r="B150" s="28" t="n"/>
      <c r="C150" s="28" t="n"/>
      <c r="D150" s="28" t="n"/>
      <c r="E150" s="29" t="n"/>
      <c r="F150" s="29" t="n"/>
      <c r="G150" s="28">
        <f>IF(AND(D150="Feito",E150&lt;&gt;"",F150&lt;&gt;""),F150-E150,"")</f>
        <v/>
      </c>
      <c r="H150" s="28">
        <f>IF(OR(D150="Feito",E150=""),"",TODAY()-E150)</f>
        <v/>
      </c>
      <c r="I150" s="28">
        <f>IF(D150="Feito","",IF(H150="","",IF(H150&gt;7,"⚠ atraso","")))</f>
        <v/>
      </c>
      <c r="J150" s="2" t="n"/>
      <c r="K150" s="2" t="n"/>
      <c r="L150" s="2" t="n"/>
    </row>
    <row r="151">
      <c r="A151" s="28" t="n"/>
      <c r="B151" s="28" t="n"/>
      <c r="C151" s="28" t="n"/>
      <c r="D151" s="28" t="n"/>
      <c r="E151" s="29" t="n"/>
      <c r="F151" s="29" t="n"/>
      <c r="G151" s="28">
        <f>IF(AND(D151="Feito",E151&lt;&gt;"",F151&lt;&gt;""),F151-E151,"")</f>
        <v/>
      </c>
      <c r="H151" s="28">
        <f>IF(OR(D151="Feito",E151=""),"",TODAY()-E151)</f>
        <v/>
      </c>
      <c r="I151" s="28">
        <f>IF(D151="Feito","",IF(H151="","",IF(H151&gt;7,"⚠ atraso","")))</f>
        <v/>
      </c>
      <c r="J151" s="2" t="n"/>
      <c r="K151" s="2" t="n"/>
      <c r="L151" s="2" t="n"/>
    </row>
    <row r="152">
      <c r="A152" s="28" t="n"/>
      <c r="B152" s="28" t="n"/>
      <c r="C152" s="28" t="n"/>
      <c r="D152" s="28" t="n"/>
      <c r="E152" s="29" t="n"/>
      <c r="F152" s="29" t="n"/>
      <c r="G152" s="28">
        <f>IF(AND(D152="Feito",E152&lt;&gt;"",F152&lt;&gt;""),F152-E152,"")</f>
        <v/>
      </c>
      <c r="H152" s="28">
        <f>IF(OR(D152="Feito",E152=""),"",TODAY()-E152)</f>
        <v/>
      </c>
      <c r="I152" s="28">
        <f>IF(D152="Feito","",IF(H152="","",IF(H152&gt;7,"⚠ atraso","")))</f>
        <v/>
      </c>
      <c r="J152" s="2" t="n"/>
      <c r="K152" s="2" t="n"/>
      <c r="L152" s="2" t="n"/>
    </row>
    <row r="153">
      <c r="A153" s="28" t="n"/>
      <c r="B153" s="28" t="n"/>
      <c r="C153" s="28" t="n"/>
      <c r="D153" s="28" t="n"/>
      <c r="E153" s="29" t="n"/>
      <c r="F153" s="29" t="n"/>
      <c r="G153" s="28">
        <f>IF(AND(D153="Feito",E153&lt;&gt;"",F153&lt;&gt;""),F153-E153,"")</f>
        <v/>
      </c>
      <c r="H153" s="28">
        <f>IF(OR(D153="Feito",E153=""),"",TODAY()-E153)</f>
        <v/>
      </c>
      <c r="I153" s="28">
        <f>IF(D153="Feito","",IF(H153="","",IF(H153&gt;7,"⚠ atraso","")))</f>
        <v/>
      </c>
      <c r="J153" s="2" t="n"/>
      <c r="K153" s="2" t="n"/>
      <c r="L153" s="2" t="n"/>
    </row>
    <row r="154">
      <c r="A154" s="28" t="n"/>
      <c r="B154" s="28" t="n"/>
      <c r="C154" s="28" t="n"/>
      <c r="D154" s="28" t="n"/>
      <c r="E154" s="29" t="n"/>
      <c r="F154" s="29" t="n"/>
      <c r="G154" s="28">
        <f>IF(AND(D154="Feito",E154&lt;&gt;"",F154&lt;&gt;""),F154-E154,"")</f>
        <v/>
      </c>
      <c r="H154" s="28">
        <f>IF(OR(D154="Feito",E154=""),"",TODAY()-E154)</f>
        <v/>
      </c>
      <c r="I154" s="28">
        <f>IF(D154="Feito","",IF(H154="","",IF(H154&gt;7,"⚠ atraso","")))</f>
        <v/>
      </c>
      <c r="J154" s="2" t="n"/>
      <c r="K154" s="2" t="n"/>
      <c r="L154" s="2" t="n"/>
    </row>
    <row r="155">
      <c r="A155" s="28" t="n"/>
      <c r="B155" s="28" t="n"/>
      <c r="C155" s="28" t="n"/>
      <c r="D155" s="28" t="n"/>
      <c r="E155" s="29" t="n"/>
      <c r="F155" s="29" t="n"/>
      <c r="G155" s="28">
        <f>IF(AND(D155="Feito",E155&lt;&gt;"",F155&lt;&gt;""),F155-E155,"")</f>
        <v/>
      </c>
      <c r="H155" s="28">
        <f>IF(OR(D155="Feito",E155=""),"",TODAY()-E155)</f>
        <v/>
      </c>
      <c r="I155" s="28">
        <f>IF(D155="Feito","",IF(H155="","",IF(H155&gt;7,"⚠ atraso","")))</f>
        <v/>
      </c>
      <c r="J155" s="2" t="n"/>
      <c r="K155" s="2" t="n"/>
      <c r="L155" s="2" t="n"/>
    </row>
    <row r="156">
      <c r="A156" s="28" t="n"/>
      <c r="B156" s="28" t="n"/>
      <c r="C156" s="28" t="n"/>
      <c r="D156" s="28" t="n"/>
      <c r="E156" s="29" t="n"/>
      <c r="F156" s="29" t="n"/>
      <c r="G156" s="28">
        <f>IF(AND(D156="Feito",E156&lt;&gt;"",F156&lt;&gt;""),F156-E156,"")</f>
        <v/>
      </c>
      <c r="H156" s="28">
        <f>IF(OR(D156="Feito",E156=""),"",TODAY()-E156)</f>
        <v/>
      </c>
      <c r="I156" s="28">
        <f>IF(D156="Feito","",IF(H156="","",IF(H156&gt;7,"⚠ atraso","")))</f>
        <v/>
      </c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1:I1"/>
    <mergeCell ref="A3:I3"/>
    <mergeCell ref="A2:I2"/>
  </mergeCells>
  <conditionalFormatting sqref="H6:H156">
    <cfRule type="colorScale" priority="1">
      <colorScale>
        <cfvo type="num" val="0"/>
        <cfvo type="num" val="5"/>
        <cfvo type="num" val="10"/>
        <color rgb="002E9E5B"/>
        <color rgb="00E0A94B"/>
        <color rgb="00D9534F"/>
      </colorScale>
    </cfRule>
  </conditionalFormatting>
  <dataValidations count="1">
    <dataValidation sqref="D6:D156" showDropDown="0" showInputMessage="0" showErrorMessage="0" allowBlank="1" errorTitle="Valor inválido" error="Selecione um valor da lista" promptTitle="Trust Excel" prompt="Escolha uma opção" type="list">
      <formula1>"A fazer,Fazendo,Feito"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sheetData>
    <row r="1" ht="14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28" customHeight="1">
      <c r="A2" s="3" t="inlineStr">
        <is>
          <t>Burndown</t>
        </is>
      </c>
      <c r="B2" s="2" t="n"/>
      <c r="C2" s="2" t="n"/>
      <c r="D2" s="2" t="n"/>
      <c r="E2" s="2" t="n"/>
      <c r="F2" s="2" t="n"/>
      <c r="G2" s="2" t="n"/>
      <c r="H2" s="2" t="n"/>
    </row>
    <row r="3" ht="14" customHeight="1">
      <c r="A3" s="4" t="inlineStr">
        <is>
          <t>Ideal x real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18" customHeight="1">
      <c r="A5" s="17" t="inlineStr">
        <is>
          <t>Dia</t>
        </is>
      </c>
      <c r="B5" s="17" t="inlineStr">
        <is>
          <t>Ideal</t>
        </is>
      </c>
      <c r="C5" s="17" t="inlineStr">
        <is>
          <t>Real</t>
        </is>
      </c>
      <c r="D5" s="2" t="n"/>
      <c r="E5" s="2" t="n"/>
      <c r="F5" s="2" t="n"/>
      <c r="G5" s="2" t="n"/>
      <c r="H5" s="2" t="n"/>
    </row>
    <row r="6">
      <c r="A6" s="30" t="inlineStr">
        <is>
          <t>D1</t>
        </is>
      </c>
      <c r="B6" s="30" t="n">
        <v>20</v>
      </c>
      <c r="C6" s="30" t="n">
        <v>20</v>
      </c>
      <c r="D6" s="2" t="n"/>
      <c r="E6" s="2" t="n"/>
      <c r="F6" s="2" t="n"/>
      <c r="G6" s="2" t="n"/>
      <c r="H6" s="2" t="n"/>
    </row>
    <row r="7">
      <c r="A7" s="30" t="inlineStr">
        <is>
          <t>D2</t>
        </is>
      </c>
      <c r="B7" s="30" t="n">
        <v>17</v>
      </c>
      <c r="C7" s="30" t="n">
        <v>18</v>
      </c>
      <c r="D7" s="2" t="n"/>
      <c r="E7" s="2" t="n"/>
      <c r="F7" s="2" t="n"/>
      <c r="G7" s="2" t="n"/>
      <c r="H7" s="2" t="n"/>
    </row>
    <row r="8">
      <c r="A8" s="30" t="inlineStr">
        <is>
          <t>D3</t>
        </is>
      </c>
      <c r="B8" s="30" t="n">
        <v>14</v>
      </c>
      <c r="C8" s="30" t="n">
        <v>17</v>
      </c>
      <c r="D8" s="2" t="n"/>
      <c r="E8" s="2" t="n"/>
      <c r="F8" s="2" t="n"/>
      <c r="G8" s="2" t="n"/>
      <c r="H8" s="2" t="n"/>
    </row>
    <row r="9">
      <c r="A9" s="30" t="inlineStr">
        <is>
          <t>D4</t>
        </is>
      </c>
      <c r="B9" s="30" t="n">
        <v>11</v>
      </c>
      <c r="C9" s="30" t="n">
        <v>13</v>
      </c>
      <c r="D9" s="2" t="n"/>
      <c r="E9" s="2" t="n"/>
      <c r="F9" s="2" t="n"/>
      <c r="G9" s="2" t="n"/>
      <c r="H9" s="2" t="n"/>
    </row>
    <row r="10">
      <c r="A10" s="30" t="inlineStr">
        <is>
          <t>D5</t>
        </is>
      </c>
      <c r="B10" s="30" t="n">
        <v>8</v>
      </c>
      <c r="C10" s="30" t="n">
        <v>11</v>
      </c>
      <c r="D10" s="2" t="n"/>
      <c r="E10" s="2" t="n"/>
      <c r="F10" s="2" t="n"/>
      <c r="G10" s="2" t="n"/>
      <c r="H10" s="2" t="n"/>
    </row>
    <row r="11">
      <c r="A11" s="30" t="inlineStr">
        <is>
          <t>D6</t>
        </is>
      </c>
      <c r="B11" s="30" t="n">
        <v>5</v>
      </c>
      <c r="C11" s="30" t="n">
        <v>7</v>
      </c>
      <c r="D11" s="2" t="n"/>
      <c r="E11" s="2" t="n"/>
      <c r="F11" s="2" t="n"/>
      <c r="G11" s="2" t="n"/>
      <c r="H11" s="2" t="n"/>
    </row>
    <row r="12">
      <c r="A12" s="30" t="inlineStr">
        <is>
          <t>D7</t>
        </is>
      </c>
      <c r="B12" s="30" t="n">
        <v>2</v>
      </c>
      <c r="C12" s="30" t="n">
        <v>4</v>
      </c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2026-07-22T20:17:03Z</dcterms:created>
  <dcterms:modified xmlns:dcterms="http://purl.org/dc/terms/" xmlns:xsi="http://www.w3.org/2001/XMLSchema-instance" xsi:type="dcterms:W3CDTF">2026-07-22T20:17:03Z</dcterms:modified>
</cp:coreProperties>
</file>