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ENTRADAS" sheetId="2" state="visible" r:id="rId2"/>
    <sheet xmlns:r="http://schemas.openxmlformats.org/officeDocument/2006/relationships" name="PONTO_EQUILIBRIO" sheetId="3" state="visible" r:id="rId3"/>
  </sheets>
  <definedNames>
    <definedName name="_xlnm.Print_Area" localSheetId="0">'DASHBOARD'!$A$1:$L$44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"/>
    <numFmt numFmtId="165" formatCode="0.0"/>
    <numFmt numFmtId="166" formatCode="&quot;R$&quot; #,##0.00"/>
    <numFmt numFmtId="167" formatCode="0.0%"/>
  </numFmts>
  <fonts count="20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color rgb="008A9691"/>
      <sz val="10"/>
    </font>
    <font>
      <name val="Aptos Narrow"/>
      <b val="1"/>
      <color rgb="00C99C66"/>
      <sz val="11"/>
    </font>
    <font>
      <name val="Aptos Narrow"/>
      <b val="1"/>
      <color rgb="00F3ECDD"/>
      <sz val="10"/>
    </font>
    <font>
      <name val="Aptos Narrow"/>
      <b val="1"/>
      <color rgb="0043D07F"/>
      <sz val="12"/>
    </font>
    <font>
      <name val="Aptos Narrow"/>
      <b val="1"/>
      <color rgb="00F3ECDD"/>
      <sz val="9"/>
    </font>
    <font>
      <name val="Aptos Narrow"/>
      <color rgb="00F3ECDD"/>
      <sz val="10"/>
    </font>
    <font>
      <name val="Aptos Narrow"/>
      <color rgb="00F3ECDD"/>
      <sz val="9"/>
    </font>
    <font>
      <name val="Aptos Narrow"/>
      <color rgb="000E1512"/>
      <sz val="9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E0A94B"/>
      <sz val="18"/>
    </font>
    <font>
      <name val="Aptos Narrow"/>
      <b val="1"/>
      <color rgb="0043D07F"/>
      <sz val="18"/>
    </font>
    <font>
      <name val="Aptos Narrow"/>
      <b val="1"/>
      <color rgb="00C99C66"/>
      <sz val="10"/>
    </font>
    <font>
      <name val="Aptos Narrow"/>
      <color rgb="008A9691"/>
      <sz val="9"/>
    </font>
    <font>
      <name val="Aptos Narrow"/>
      <i val="1"/>
      <color rgb="00F3ECDD"/>
      <sz val="10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B2C24"/>
      </patternFill>
    </fill>
    <fill>
      <patternFill patternType="solid">
        <fgColor rgb="0014211B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2" fillId="3" borderId="1" applyAlignment="1" pivotButton="0" quotePrefix="0" xfId="0">
      <alignment horizontal="center" vertical="center"/>
    </xf>
    <xf numFmtId="0" fontId="0" fillId="3" borderId="1" pivotButton="0" quotePrefix="0" xfId="0"/>
    <xf numFmtId="166" fontId="13" fillId="3" borderId="1" applyAlignment="1" pivotButton="0" quotePrefix="0" xfId="0">
      <alignment horizontal="center" vertical="center"/>
    </xf>
    <xf numFmtId="1" fontId="15" fillId="3" borderId="1" applyAlignment="1" pivotButton="0" quotePrefix="0" xfId="0">
      <alignment horizontal="center" vertical="center"/>
    </xf>
    <xf numFmtId="164" fontId="15" fillId="3" borderId="1" applyAlignment="1" pivotButton="0" quotePrefix="0" xfId="0">
      <alignment horizontal="center" vertical="center"/>
    </xf>
    <xf numFmtId="167" fontId="16" fillId="3" borderId="1" applyAlignment="1" pivotButton="0" quotePrefix="0" xfId="0">
      <alignment horizontal="center" vertical="center"/>
    </xf>
    <xf numFmtId="164" fontId="13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 indent="1"/>
    </xf>
    <xf numFmtId="0" fontId="8" fillId="4" borderId="1" applyAlignment="1" pivotButton="0" quotePrefix="0" xfId="0">
      <alignment horizontal="center" vertical="center" wrapText="1"/>
    </xf>
    <xf numFmtId="0" fontId="9" fillId="2" borderId="1" pivotButton="0" quotePrefix="0" xfId="0"/>
    <xf numFmtId="9" fontId="4" fillId="2" borderId="1" pivotButton="0" quotePrefix="0" xfId="0"/>
    <xf numFmtId="164" fontId="5" fillId="2" borderId="1" pivotButton="0" quotePrefix="0" xfId="0"/>
    <xf numFmtId="0" fontId="18" fillId="2" borderId="1" pivotButton="0" quotePrefix="0" xfId="0"/>
    <xf numFmtId="0" fontId="19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1" fillId="2" borderId="0" pivotButton="0" quotePrefix="0" xfId="0"/>
    <xf numFmtId="0" fontId="4" fillId="2" borderId="0" pivotButton="0" quotePrefix="0" xfId="0"/>
    <xf numFmtId="164" fontId="5" fillId="3" borderId="1" pivotButton="0" quotePrefix="0" xfId="0"/>
    <xf numFmtId="49" fontId="5" fillId="3" borderId="1" pivotButton="0" quotePrefix="0" xfId="0"/>
    <xf numFmtId="165" fontId="5" fillId="3" borderId="1" pivotButton="0" quotePrefix="0" xfId="0"/>
    <xf numFmtId="1" fontId="5" fillId="3" borderId="1" pivotButton="0" quotePrefix="0" xfId="0"/>
    <xf numFmtId="0" fontId="6" fillId="2" borderId="0" pivotButton="0" quotePrefix="0" xfId="0"/>
    <xf numFmtId="166" fontId="7" fillId="2" borderId="0" pivotButton="0" quotePrefix="0" xfId="0"/>
    <xf numFmtId="166" fontId="5" fillId="2" borderId="0" pivotButton="0" quotePrefix="0" xfId="0"/>
    <xf numFmtId="167" fontId="5" fillId="2" borderId="0" pivotButton="0" quotePrefix="0" xfId="0"/>
    <xf numFmtId="0" fontId="10" fillId="2" borderId="1" pivotButton="0" quotePrefix="0" xfId="0"/>
    <xf numFmtId="164" fontId="1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'DASHBOARD'!$B$11:$B$13</f>
            </numRef>
          </cat>
          <val>
            <numRef>
              <f>'DASHBOARD'!$D$11:$D$13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Receita x Custo (ponto de equilíbrio)</a:t>
            </a:r>
          </a:p>
        </rich>
      </tx>
    </title>
    <plotArea>
      <lineChart>
        <grouping val="standard"/>
        <ser>
          <idx val="0"/>
          <order val="0"/>
          <tx>
            <strRef>
              <f>'PONTO_EQUILIBRIO'!B5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'PONTO_EQUILIBRIO'!$A$6:$A$18</f>
            </numRef>
          </cat>
          <val>
            <numRef>
              <f>'PONTO_EQUILIBRIO'!$B$6:$B$18</f>
            </numRef>
          </val>
        </ser>
        <ser>
          <idx val="1"/>
          <order val="1"/>
          <tx>
            <strRef>
              <f>'PONTO_EQUILIBRIO'!C5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'PONTO_EQUILIBRIO'!$A$6:$A$18</f>
            </numRef>
          </cat>
          <val>
            <numRef>
              <f>'PONTO_EQUILIBRIO'!$C$6:$C$18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Motor de Precificação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Valor/hora · ponto de equilíbrio · cenários · sensibilidade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VALOR DA HORA</t>
        </is>
      </c>
      <c r="C5" s="6" t="n"/>
      <c r="D5" s="5" t="inlineStr">
        <is>
          <t>PONTO EQUILÍBRIO (un.)</t>
        </is>
      </c>
      <c r="E5" s="6" t="n"/>
      <c r="F5" s="5" t="inlineStr">
        <is>
          <t>FATURAMENTO MÍNIMO</t>
        </is>
      </c>
      <c r="G5" s="6" t="n"/>
      <c r="H5" s="5" t="inlineStr">
        <is>
          <t>MARGEM CONTRIB.</t>
        </is>
      </c>
      <c r="I5" s="6" t="n"/>
      <c r="J5" s="5" t="inlineStr">
        <is>
          <t>PREÇO-ALVO CLIENTE</t>
        </is>
      </c>
      <c r="K5" s="6" t="n"/>
      <c r="L5" s="2" t="n"/>
    </row>
    <row r="6" ht="26" customHeight="1">
      <c r="A6" s="2" t="n"/>
      <c r="B6" s="7">
        <f>B40</f>
        <v/>
      </c>
      <c r="C6" s="6" t="n"/>
      <c r="D6" s="8">
        <f>B41</f>
        <v/>
      </c>
      <c r="E6" s="6" t="n"/>
      <c r="F6" s="9">
        <f>B42</f>
        <v/>
      </c>
      <c r="G6" s="6" t="n"/>
      <c r="H6" s="10">
        <f>B43</f>
        <v/>
      </c>
      <c r="I6" s="6" t="n"/>
      <c r="J6" s="11">
        <f>ENTRADAS!E8</f>
        <v/>
      </c>
      <c r="K6" s="6" t="n"/>
      <c r="L6" s="2" t="n"/>
    </row>
    <row r="7" ht="14" customHeight="1">
      <c r="A7" s="2" t="n"/>
      <c r="B7" s="12" t="inlineStr"/>
      <c r="C7" s="6" t="n"/>
      <c r="D7" s="12" t="inlineStr">
        <is>
          <t>unidades/mês p/ empatar</t>
        </is>
      </c>
      <c r="E7" s="6" t="n"/>
      <c r="F7" s="12" t="inlineStr"/>
      <c r="G7" s="6" t="n"/>
      <c r="H7" s="12" t="inlineStr"/>
      <c r="I7" s="6" t="n"/>
      <c r="J7" s="12" t="inlineStr"/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13" t="inlineStr">
        <is>
          <t>CENÁRIOS DE PROPOSTA (serviço personalizado)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26" customHeight="1">
      <c r="A10" s="2" t="n"/>
      <c r="B10" s="14" t="inlineStr">
        <is>
          <t>Cenário</t>
        </is>
      </c>
      <c r="C10" s="14" t="inlineStr">
        <is>
          <t>Margem</t>
        </is>
      </c>
      <c r="D10" s="14" t="inlineStr">
        <is>
          <t>Preço sugerido</t>
        </is>
      </c>
      <c r="E10" s="14" t="inlineStr">
        <is>
          <t>Quando usar</t>
        </is>
      </c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15" t="inlineStr">
        <is>
          <t>Mínimo</t>
        </is>
      </c>
      <c r="C11" s="16" t="n">
        <v>0.15</v>
      </c>
      <c r="D11" s="17">
        <f>$B$44/(1-C11)</f>
        <v/>
      </c>
      <c r="E11" s="18" t="inlineStr">
        <is>
          <t>Entrar na conta / recorrência</t>
        </is>
      </c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15" t="inlineStr">
        <is>
          <t>Ideal</t>
        </is>
      </c>
      <c r="C12" s="16" t="n">
        <v>0.3</v>
      </c>
      <c r="D12" s="17">
        <f>$B$44/(1-C12)</f>
        <v/>
      </c>
      <c r="E12" s="18" t="inlineStr">
        <is>
          <t>Padrão saudável</t>
        </is>
      </c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15" t="inlineStr">
        <is>
          <t>Premium</t>
        </is>
      </c>
      <c r="C13" s="16" t="n">
        <v>0.5</v>
      </c>
      <c r="D13" s="17">
        <f>$B$44/(1-C13)</f>
        <v/>
      </c>
      <c r="E13" s="18" t="inlineStr">
        <is>
          <t>Urgência / especialização</t>
        </is>
      </c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 ht="20" customHeight="1">
      <c r="A15" s="2" t="n"/>
      <c r="B15" s="19">
        <f>CONCATENATE("Para fechar a ",TEXT(ENTRADAS!E8,"R$ #,##0")," com 30% de margem, gaste no máximo ",TEXT(MAX(0,((ENTRADAS!E8*0.7)-ENTRADAS!E7)/ENTRADAS!B11),"0.0")," horas na entrega. Regra Trust: não baixe preço, reduza escopo.")</f>
        <v/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1">
        <f>ENTRADAS!B11</f>
        <v/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1">
        <f>IFERROR(ENTRADAS!B6/ENTRADAS!B12,0)</f>
        <v/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1">
        <f>B41*ENTRADAS!B9</f>
        <v/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1">
        <f>ENTRADAS!B13</f>
        <v/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1">
        <f>(ENTRADAS!B7*ENTRADAS!B11)+ENTRADAS!E7</f>
        <v/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</sheetData>
  <mergeCells count="19">
    <mergeCell ref="B7:C7"/>
    <mergeCell ref="J5:K5"/>
    <mergeCell ref="B15:K15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6" customWidth="1" min="3" max="3"/>
    <col width="30" customWidth="1" min="4" max="4"/>
    <col width="18" customWidth="1" min="5" max="5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Parâmetros do Negócio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Ajuste os campos amarelos — tudo recalcula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2" t="inlineStr">
        <is>
          <t>Renda desejada / mês</t>
        </is>
      </c>
      <c r="B5" s="23" t="n">
        <v>20000</v>
      </c>
      <c r="C5" s="2" t="n"/>
      <c r="D5" s="22" t="inlineStr">
        <is>
          <t>Nome do serviço/produto</t>
        </is>
      </c>
      <c r="E5" s="24" t="inlineStr">
        <is>
          <t>Plano Pro</t>
        </is>
      </c>
      <c r="F5" s="2" t="n"/>
      <c r="G5" s="2" t="n"/>
      <c r="H5" s="2" t="n"/>
    </row>
    <row r="6">
      <c r="A6" s="22" t="inlineStr">
        <is>
          <t>Custos fixos / mês</t>
        </is>
      </c>
      <c r="B6" s="23" t="n">
        <v>7000</v>
      </c>
      <c r="C6" s="2" t="n"/>
      <c r="D6" s="22" t="inlineStr">
        <is>
          <t>Horas por entrega</t>
        </is>
      </c>
      <c r="E6" s="25" t="n">
        <v>6</v>
      </c>
      <c r="F6" s="2" t="n"/>
      <c r="G6" s="2" t="n"/>
      <c r="H6" s="2" t="n"/>
    </row>
    <row r="7">
      <c r="A7" s="22" t="inlineStr">
        <is>
          <t>Horas produtivas / mês</t>
        </is>
      </c>
      <c r="B7" s="26" t="n">
        <v>120</v>
      </c>
      <c r="C7" s="2" t="n"/>
      <c r="D7" s="22" t="inlineStr">
        <is>
          <t>Custos extras / entrega</t>
        </is>
      </c>
      <c r="E7" s="23" t="n">
        <v>120</v>
      </c>
      <c r="F7" s="2" t="n"/>
      <c r="G7" s="2" t="n"/>
      <c r="H7" s="2" t="n"/>
    </row>
    <row r="8">
      <c r="A8" s="22" t="inlineStr">
        <is>
          <t>Custo variável / unidade</t>
        </is>
      </c>
      <c r="B8" s="23" t="n">
        <v>35</v>
      </c>
      <c r="C8" s="2" t="n"/>
      <c r="D8" s="22" t="inlineStr">
        <is>
          <t>Preço-alvo do cliente</t>
        </is>
      </c>
      <c r="E8" s="23" t="n">
        <v>1200</v>
      </c>
      <c r="F8" s="2" t="n"/>
      <c r="G8" s="2" t="n"/>
      <c r="H8" s="2" t="n"/>
    </row>
    <row r="9">
      <c r="A9" s="22" t="inlineStr">
        <is>
          <t>Preço de venda / unidade</t>
        </is>
      </c>
      <c r="B9" s="23" t="n">
        <v>149</v>
      </c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7" t="inlineStr">
        <is>
          <t>VALOR DA HORA</t>
        </is>
      </c>
      <c r="B11" s="28">
        <f>(B5+B6)/B7</f>
        <v/>
      </c>
      <c r="C11" s="2" t="n"/>
      <c r="D11" s="2" t="n"/>
      <c r="E11" s="2" t="n"/>
      <c r="F11" s="2" t="n"/>
      <c r="G11" s="2" t="n"/>
      <c r="H11" s="2" t="n"/>
    </row>
    <row r="12">
      <c r="A12" s="27" t="inlineStr">
        <is>
          <t>MARGEM DE CONTRIB./UNID.</t>
        </is>
      </c>
      <c r="B12" s="29">
        <f>IFERROR(B9-B8,0)</f>
        <v/>
      </c>
      <c r="C12" s="2" t="n"/>
      <c r="D12" s="2" t="n"/>
      <c r="E12" s="2" t="n"/>
      <c r="F12" s="2" t="n"/>
      <c r="G12" s="2" t="n"/>
      <c r="H12" s="2" t="n"/>
    </row>
    <row r="13">
      <c r="A13" s="27" t="inlineStr">
        <is>
          <t>% MARGEM DE CONTRIBUIÇÃO</t>
        </is>
      </c>
      <c r="B13" s="30">
        <f>IFERROR(B12/B9,0)</f>
        <v/>
      </c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3">
    <mergeCell ref="A2:E2"/>
    <mergeCell ref="A1:E1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Ponto de Equilíbrio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Onde a receita cobre custo fixo + variável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26" customHeight="1">
      <c r="A5" s="14" t="inlineStr">
        <is>
          <t>Unidades</t>
        </is>
      </c>
      <c r="B5" s="14" t="inlineStr">
        <is>
          <t>Receita</t>
        </is>
      </c>
      <c r="C5" s="14" t="inlineStr">
        <is>
          <t>Custo total</t>
        </is>
      </c>
      <c r="D5" s="14" t="inlineStr">
        <is>
          <t>Lucro</t>
        </is>
      </c>
      <c r="E5" s="2" t="n"/>
      <c r="F5" s="2" t="n"/>
      <c r="G5" s="2" t="n"/>
      <c r="H5" s="2" t="n"/>
    </row>
    <row r="6">
      <c r="A6" s="31" t="n">
        <v>0</v>
      </c>
      <c r="B6" s="32">
        <f>A6*ENTRADAS!$B$9</f>
        <v/>
      </c>
      <c r="C6" s="32">
        <f>ENTRADAS!$B$6+A6*ENTRADAS!$B$8</f>
        <v/>
      </c>
      <c r="D6" s="32">
        <f>B6-C6</f>
        <v/>
      </c>
      <c r="E6" s="2" t="n"/>
      <c r="F6" s="2" t="n"/>
      <c r="G6" s="2" t="n"/>
      <c r="H6" s="2" t="n"/>
    </row>
    <row r="7">
      <c r="A7" s="31" t="n">
        <v>20</v>
      </c>
      <c r="B7" s="32">
        <f>A7*ENTRADAS!$B$9</f>
        <v/>
      </c>
      <c r="C7" s="32">
        <f>ENTRADAS!$B$6+A7*ENTRADAS!$B$8</f>
        <v/>
      </c>
      <c r="D7" s="32">
        <f>B7-C7</f>
        <v/>
      </c>
      <c r="E7" s="2" t="n"/>
      <c r="F7" s="2" t="n"/>
      <c r="G7" s="2" t="n"/>
      <c r="H7" s="2" t="n"/>
    </row>
    <row r="8">
      <c r="A8" s="31" t="n">
        <v>40</v>
      </c>
      <c r="B8" s="32">
        <f>A8*ENTRADAS!$B$9</f>
        <v/>
      </c>
      <c r="C8" s="32">
        <f>ENTRADAS!$B$6+A8*ENTRADAS!$B$8</f>
        <v/>
      </c>
      <c r="D8" s="32">
        <f>B8-C8</f>
        <v/>
      </c>
      <c r="E8" s="2" t="n"/>
      <c r="F8" s="2" t="n"/>
      <c r="G8" s="2" t="n"/>
      <c r="H8" s="2" t="n"/>
    </row>
    <row r="9">
      <c r="A9" s="31" t="n">
        <v>60</v>
      </c>
      <c r="B9" s="32">
        <f>A9*ENTRADAS!$B$9</f>
        <v/>
      </c>
      <c r="C9" s="32">
        <f>ENTRADAS!$B$6+A9*ENTRADAS!$B$8</f>
        <v/>
      </c>
      <c r="D9" s="32">
        <f>B9-C9</f>
        <v/>
      </c>
      <c r="E9" s="2" t="n"/>
      <c r="F9" s="2" t="n"/>
      <c r="G9" s="2" t="n"/>
      <c r="H9" s="2" t="n"/>
    </row>
    <row r="10">
      <c r="A10" s="31" t="n">
        <v>80</v>
      </c>
      <c r="B10" s="32">
        <f>A10*ENTRADAS!$B$9</f>
        <v/>
      </c>
      <c r="C10" s="32">
        <f>ENTRADAS!$B$6+A10*ENTRADAS!$B$8</f>
        <v/>
      </c>
      <c r="D10" s="32">
        <f>B10-C10</f>
        <v/>
      </c>
      <c r="E10" s="2" t="n"/>
      <c r="F10" s="2" t="n"/>
      <c r="G10" s="2" t="n"/>
      <c r="H10" s="2" t="n"/>
    </row>
    <row r="11">
      <c r="A11" s="31" t="n">
        <v>100</v>
      </c>
      <c r="B11" s="32">
        <f>A11*ENTRADAS!$B$9</f>
        <v/>
      </c>
      <c r="C11" s="32">
        <f>ENTRADAS!$B$6+A11*ENTRADAS!$B$8</f>
        <v/>
      </c>
      <c r="D11" s="32">
        <f>B11-C11</f>
        <v/>
      </c>
      <c r="E11" s="2" t="n"/>
      <c r="F11" s="2" t="n"/>
      <c r="G11" s="2" t="n"/>
      <c r="H11" s="2" t="n"/>
    </row>
    <row r="12">
      <c r="A12" s="31" t="n">
        <v>120</v>
      </c>
      <c r="B12" s="32">
        <f>A12*ENTRADAS!$B$9</f>
        <v/>
      </c>
      <c r="C12" s="32">
        <f>ENTRADAS!$B$6+A12*ENTRADAS!$B$8</f>
        <v/>
      </c>
      <c r="D12" s="32">
        <f>B12-C12</f>
        <v/>
      </c>
      <c r="E12" s="2" t="n"/>
      <c r="F12" s="2" t="n"/>
      <c r="G12" s="2" t="n"/>
      <c r="H12" s="2" t="n"/>
    </row>
    <row r="13">
      <c r="A13" s="31" t="n">
        <v>140</v>
      </c>
      <c r="B13" s="32">
        <f>A13*ENTRADAS!$B$9</f>
        <v/>
      </c>
      <c r="C13" s="32">
        <f>ENTRADAS!$B$6+A13*ENTRADAS!$B$8</f>
        <v/>
      </c>
      <c r="D13" s="32">
        <f>B13-C13</f>
        <v/>
      </c>
      <c r="E13" s="2" t="n"/>
      <c r="F13" s="2" t="n"/>
      <c r="G13" s="2" t="n"/>
      <c r="H13" s="2" t="n"/>
    </row>
    <row r="14">
      <c r="A14" s="31" t="n">
        <v>160</v>
      </c>
      <c r="B14" s="32">
        <f>A14*ENTRADAS!$B$9</f>
        <v/>
      </c>
      <c r="C14" s="32">
        <f>ENTRADAS!$B$6+A14*ENTRADAS!$B$8</f>
        <v/>
      </c>
      <c r="D14" s="32">
        <f>B14-C14</f>
        <v/>
      </c>
      <c r="E14" s="2" t="n"/>
      <c r="F14" s="2" t="n"/>
      <c r="G14" s="2" t="n"/>
      <c r="H14" s="2" t="n"/>
    </row>
    <row r="15">
      <c r="A15" s="31" t="n">
        <v>180</v>
      </c>
      <c r="B15" s="32">
        <f>A15*ENTRADAS!$B$9</f>
        <v/>
      </c>
      <c r="C15" s="32">
        <f>ENTRADAS!$B$6+A15*ENTRADAS!$B$8</f>
        <v/>
      </c>
      <c r="D15" s="32">
        <f>B15-C15</f>
        <v/>
      </c>
      <c r="E15" s="2" t="n"/>
      <c r="F15" s="2" t="n"/>
      <c r="G15" s="2" t="n"/>
      <c r="H15" s="2" t="n"/>
    </row>
    <row r="16">
      <c r="A16" s="31" t="n">
        <v>200</v>
      </c>
      <c r="B16" s="32">
        <f>A16*ENTRADAS!$B$9</f>
        <v/>
      </c>
      <c r="C16" s="32">
        <f>ENTRADAS!$B$6+A16*ENTRADAS!$B$8</f>
        <v/>
      </c>
      <c r="D16" s="32">
        <f>B16-C16</f>
        <v/>
      </c>
      <c r="E16" s="2" t="n"/>
      <c r="F16" s="2" t="n"/>
      <c r="G16" s="2" t="n"/>
      <c r="H16" s="2" t="n"/>
    </row>
    <row r="17">
      <c r="A17" s="31" t="n">
        <v>220</v>
      </c>
      <c r="B17" s="32">
        <f>A17*ENTRADAS!$B$9</f>
        <v/>
      </c>
      <c r="C17" s="32">
        <f>ENTRADAS!$B$6+A17*ENTRADAS!$B$8</f>
        <v/>
      </c>
      <c r="D17" s="32">
        <f>B17-C17</f>
        <v/>
      </c>
      <c r="E17" s="2" t="n"/>
      <c r="F17" s="2" t="n"/>
      <c r="G17" s="2" t="n"/>
      <c r="H17" s="2" t="n"/>
    </row>
    <row r="18">
      <c r="A18" s="31" t="n">
        <v>240</v>
      </c>
      <c r="B18" s="32">
        <f>A18*ENTRADAS!$B$9</f>
        <v/>
      </c>
      <c r="C18" s="32">
        <f>ENTRADAS!$B$6+A18*ENTRADAS!$B$8</f>
        <v/>
      </c>
      <c r="D18" s="32">
        <f>B18-C18</f>
        <v/>
      </c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3">
    <mergeCell ref="A1:D1"/>
    <mergeCell ref="A3:D3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2026-07-22T16:37:02Z</dcterms:created>
  <dcterms:modified xmlns:dcterms="http://purl.org/dc/terms/" xmlns:xsi="http://www.w3.org/2001/XMLSchema-instance" xsi:type="dcterms:W3CDTF">2026-07-22T16:37:02Z</dcterms:modified>
</cp:coreProperties>
</file>