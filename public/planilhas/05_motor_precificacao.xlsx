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ENTRADAS" sheetId="2" state="visible" r:id="rId2"/>
  </sheets>
  <definedNames>
    <definedName name="_xlnm.Print_Area" localSheetId="0">'DASHBOARD'!$A$1:$L$32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&quot;R$&quot; #,##0"/>
    <numFmt numFmtId="165" formatCode="0.0"/>
    <numFmt numFmtId="166" formatCode="&quot;R$&quot; #,##0.00"/>
    <numFmt numFmtId="167" formatCode="#,##0;(#,##0);&quot;—&quot;"/>
    <numFmt numFmtId="168" formatCode="#,##0.0;(#,##0.0);&quot;—&quot;"/>
  </numFmts>
  <fonts count="22">
    <font>
      <name val="Calibri"/>
      <family val="2"/>
      <color theme="1"/>
      <sz val="11"/>
      <scheme val="minor"/>
    </font>
    <font>
      <name val="Calibri"/>
      <b val="1"/>
      <color rgb="00C99C66"/>
      <sz val="8"/>
    </font>
    <font>
      <name val="Calibri"/>
      <b val="1"/>
      <color rgb="00F3ECDD"/>
      <sz val="22"/>
    </font>
    <font>
      <name val="Calibri"/>
      <i val="1"/>
      <color rgb="008A9691"/>
      <sz val="9"/>
    </font>
    <font>
      <name val="Calibri"/>
      <color rgb="008A9691"/>
      <sz val="10"/>
    </font>
    <font>
      <name val="Calibri"/>
      <b val="1"/>
      <color rgb="00C99C66"/>
      <sz val="11"/>
    </font>
    <font>
      <name val="Calibri"/>
      <b val="1"/>
      <color rgb="008A9691"/>
      <sz val="7"/>
    </font>
    <font>
      <name val="Calibri"/>
      <b val="1"/>
      <color rgb="00C99C66"/>
      <sz val="18"/>
    </font>
    <font>
      <name val="Calibri"/>
      <i val="1"/>
      <color rgb="008A9691"/>
      <sz val="7"/>
    </font>
    <font>
      <name val="Calibri"/>
      <b val="1"/>
      <color rgb="00E0A94B"/>
      <sz val="18"/>
    </font>
    <font>
      <name val="Calibri"/>
      <b val="1"/>
      <color rgb="0043D07F"/>
      <sz val="18"/>
    </font>
    <font>
      <name val="Calibri"/>
      <b val="1"/>
      <color rgb="00F3ECDD"/>
      <sz val="10"/>
    </font>
    <font>
      <name val="Calibri"/>
      <b val="1"/>
      <color rgb="00C99C66"/>
      <sz val="9"/>
    </font>
    <font>
      <name val="Calibri"/>
      <b val="1"/>
      <color rgb="00F3ECDD"/>
      <sz val="8"/>
    </font>
    <font>
      <name val="Calibri"/>
      <color rgb="00F3ECDD"/>
      <sz val="8"/>
    </font>
    <font>
      <name val="Calibri"/>
      <color rgb="008A9691"/>
      <sz val="8"/>
    </font>
    <font>
      <name val="Calibri"/>
      <color rgb="00F3ECDD"/>
      <sz val="9"/>
    </font>
    <font>
      <name val="Calibri"/>
      <b val="1"/>
      <color rgb="00C99C66"/>
      <sz val="10"/>
    </font>
    <font>
      <name val="Calibri"/>
      <color rgb="008A9691"/>
      <sz val="7"/>
    </font>
    <font>
      <name val="Calibri"/>
      <color rgb="0043D07F"/>
      <sz val="10"/>
    </font>
    <font>
      <name val="Calibri"/>
      <color rgb="00C99C66"/>
      <sz val="8"/>
    </font>
    <font>
      <name val="Calibri"/>
      <color rgb="0043D07F"/>
      <sz val="7"/>
    </font>
  </fonts>
  <fills count="6">
    <fill>
      <patternFill/>
    </fill>
    <fill>
      <patternFill patternType="gray125"/>
    </fill>
    <fill>
      <patternFill patternType="solid">
        <fgColor rgb="000B1210"/>
      </patternFill>
    </fill>
    <fill>
      <patternFill patternType="solid">
        <fgColor rgb="00182620"/>
      </patternFill>
    </fill>
    <fill>
      <patternFill patternType="solid">
        <fgColor rgb="001E3028"/>
      </patternFill>
    </fill>
    <fill>
      <patternFill patternType="solid">
        <fgColor rgb="00121C18"/>
      </patternFill>
    </fill>
  </fills>
  <borders count="3">
    <border>
      <left/>
      <right/>
      <top/>
      <bottom/>
      <diagonal/>
    </border>
    <border>
      <left style="thin">
        <color rgb="002A3D34"/>
      </left>
      <right style="thin">
        <color rgb="002A3D34"/>
      </right>
      <top style="thin">
        <color rgb="002A3D34"/>
      </top>
      <bottom style="thin">
        <color rgb="002A3D34"/>
      </bottom>
    </border>
    <border>
      <left style="thin">
        <color rgb="002A3D34"/>
      </left>
      <right style="thin">
        <color rgb="002A3D34"/>
      </right>
      <top style="thin">
        <color rgb="00C99C66"/>
      </top>
      <bottom style="thin">
        <color rgb="002A3D3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3" borderId="2" applyAlignment="1" pivotButton="0" quotePrefix="0" xfId="0">
      <alignment horizontal="center" vertical="center"/>
    </xf>
    <xf numFmtId="0" fontId="0" fillId="3" borderId="2" pivotButton="0" quotePrefix="0" xfId="0"/>
    <xf numFmtId="166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1" fontId="9" fillId="4" borderId="1" applyAlignment="1" pivotButton="0" quotePrefix="0" xfId="0">
      <alignment horizontal="center" vertical="center"/>
    </xf>
    <xf numFmtId="164" fontId="9" fillId="4" borderId="1" applyAlignment="1" pivotButton="0" quotePrefix="0" xfId="0">
      <alignment horizontal="center" vertical="center"/>
    </xf>
    <xf numFmtId="9" fontId="10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11" fillId="3" borderId="1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 wrapText="1"/>
    </xf>
    <xf numFmtId="0" fontId="14" fillId="2" borderId="1" pivotButton="0" quotePrefix="0" xfId="0"/>
    <xf numFmtId="167" fontId="15" fillId="2" borderId="1" pivotButton="0" quotePrefix="0" xfId="0"/>
    <xf numFmtId="167" fontId="16" fillId="2" borderId="1" pivotButton="0" quotePrefix="0" xfId="0"/>
    <xf numFmtId="9" fontId="1" fillId="2" borderId="1" pivotButton="0" quotePrefix="0" xfId="0"/>
    <xf numFmtId="164" fontId="17" fillId="2" borderId="1" pivotButton="0" quotePrefix="0" xfId="0"/>
    <xf numFmtId="0" fontId="15" fillId="2" borderId="1" pivotButton="0" quotePrefix="0" xfId="0"/>
    <xf numFmtId="168" fontId="12" fillId="2" borderId="1" pivotButton="0" quotePrefix="0" xfId="0"/>
    <xf numFmtId="1" fontId="18" fillId="2" borderId="1" pivotButton="0" quotePrefix="0" xfId="0"/>
    <xf numFmtId="168" fontId="20" fillId="2" borderId="1" pivotButton="0" quotePrefix="0" xfId="0"/>
    <xf numFmtId="0" fontId="21" fillId="2" borderId="1" applyAlignment="1" pivotButton="0" quotePrefix="0" xfId="0">
      <alignment horizontal="center" vertical="center"/>
    </xf>
    <xf numFmtId="0" fontId="18" fillId="2" borderId="1" pivotButton="0" quotePrefix="0" xfId="0"/>
    <xf numFmtId="0" fontId="21" fillId="2" borderId="1" pivotButton="0" quotePrefix="0" xfId="0"/>
    <xf numFmtId="0" fontId="4" fillId="2" borderId="0" pivotButton="0" quotePrefix="0" xfId="0"/>
    <xf numFmtId="164" fontId="5" fillId="3" borderId="1" pivotButton="0" quotePrefix="0" xfId="0"/>
    <xf numFmtId="49" fontId="5" fillId="3" borderId="1" pivotButton="0" quotePrefix="0" xfId="0"/>
    <xf numFmtId="165" fontId="5" fillId="3" borderId="1" pivotButton="0" quotePrefix="0" xfId="0"/>
    <xf numFmtId="1" fontId="5" fillId="3" borderId="1" pivotButton="0" quotePrefix="0" xfId="0"/>
  </cellXfs>
  <cellStyles count="1">
    <cellStyle name="Normal" xfId="0" builtinId="0" hidden="0"/>
  </cellStyles>
  <dxfs count="2">
    <dxf>
      <font>
        <name val="Calibri"/>
        <b val="1"/>
        <color rgb="0043D07F"/>
        <sz val="8"/>
      </font>
    </dxf>
    <dxf>
      <font>
        <name val="Calibri"/>
        <b val="1"/>
        <color rgb="00D9534F"/>
        <sz val="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'DASHBOARD'!C12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'DASHBOARD'!$B$13:$B$15</f>
            </numRef>
          </cat>
          <val>
            <numRef>
              <f>'DASHBOARD'!$C$13:$C$15</f>
            </numRef>
          </val>
        </ser>
        <ser>
          <idx val="1"/>
          <order val="1"/>
          <tx>
            <strRef>
              <f>'DASHBOARD'!D12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'DASHBOARD'!$D$13:$D$15</f>
            </numRef>
          </val>
        </ser>
        <ser>
          <idx val="2"/>
          <order val="2"/>
          <tx>
            <strRef>
              <f>'DASHBOARD'!E12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'DASHBOARD'!$E$13:$E$15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'DASHBOARD'!H12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'DASHBOARD'!$F$13:$F$15</f>
            </numRef>
          </cat>
          <val>
            <numRef>
              <f>'DASHBOARD'!$H$13:$H$15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'DASHBOARD'!I26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'DASHBOARD'!$H$27:$H$31</f>
            </numRef>
          </cat>
          <val>
            <numRef>
              <f>'DASHBOARD'!$I$27:$I$31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2880000" cy="151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15</row>
      <rowOff>0</rowOff>
    </from>
    <ext cx="2880000" cy="16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24</row>
      <rowOff>0</rowOff>
    </from>
    <ext cx="1980000" cy="1007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Motor de Precificação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Valor/hora · break-even · cenários de proposta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3" customHeight="1">
      <c r="A5" s="2" t="n"/>
      <c r="B5" s="5" t="inlineStr">
        <is>
          <t>VALOR DA HORA</t>
        </is>
      </c>
      <c r="C5" s="6" t="n"/>
      <c r="D5" s="5" t="inlineStr">
        <is>
          <t>BREAK-EVEN (un.)</t>
        </is>
      </c>
      <c r="E5" s="6" t="n"/>
      <c r="F5" s="5" t="inlineStr">
        <is>
          <t>FATURAM. MÍNIMO</t>
        </is>
      </c>
      <c r="G5" s="6" t="n"/>
      <c r="H5" s="5" t="inlineStr">
        <is>
          <t>MARGEM CONTRIB.</t>
        </is>
      </c>
      <c r="I5" s="6" t="n"/>
      <c r="J5" s="5" t="inlineStr">
        <is>
          <t>PREÇO-ALVO</t>
        </is>
      </c>
      <c r="K5" s="6" t="n"/>
      <c r="L5" s="2" t="n"/>
      <c r="M5" s="2" t="n"/>
      <c r="N5" s="2" t="n"/>
    </row>
    <row r="6" ht="28" customHeight="1">
      <c r="A6" s="2" t="n"/>
      <c r="B6" s="7">
        <f>Z40</f>
        <v/>
      </c>
      <c r="C6" s="8" t="n"/>
      <c r="D6" s="9">
        <f>Z41</f>
        <v/>
      </c>
      <c r="E6" s="8" t="n"/>
      <c r="F6" s="10">
        <f>Z42</f>
        <v/>
      </c>
      <c r="G6" s="8" t="n"/>
      <c r="H6" s="11">
        <f>Z43</f>
        <v/>
      </c>
      <c r="I6" s="8" t="n"/>
      <c r="J6" s="12">
        <f>ENTRADAS!E8</f>
        <v/>
      </c>
      <c r="K6" s="8" t="n"/>
      <c r="L6" s="2" t="n"/>
      <c r="M6" s="2" t="n"/>
      <c r="N6" s="2" t="n"/>
    </row>
    <row r="7" ht="12" customHeight="1">
      <c r="A7" s="2" t="n"/>
      <c r="B7" s="13" t="inlineStr"/>
      <c r="C7" s="14" t="n"/>
      <c r="D7" s="13" t="inlineStr"/>
      <c r="E7" s="14" t="n"/>
      <c r="F7" s="13" t="inlineStr"/>
      <c r="G7" s="14" t="n"/>
      <c r="H7" s="13" t="inlineStr"/>
      <c r="I7" s="14" t="n"/>
      <c r="J7" s="13" t="inlineStr"/>
      <c r="K7" s="14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18" customHeight="1">
      <c r="A9" s="2" t="n"/>
      <c r="B9" s="15">
        <f>CONCATENATE("Para bater o preço-alvo com 30% de margem, gaste no máx. ",TEXT(MAX(0,((ENTRADAS!E8*0.7)-ENTRADAS!E7)/ENTRADAS!B11),"0.0")," horas.")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16" t="inlineStr">
        <is>
          <t>CASCATA PREÇO IDEAL</t>
        </is>
      </c>
      <c r="C11" s="2" t="n"/>
      <c r="D11" s="2" t="n"/>
      <c r="E11" s="2" t="n"/>
      <c r="F11" s="16" t="inlineStr">
        <is>
          <t>3 CENÁRIOS DE PROPOSTA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18" customHeight="1">
      <c r="A12" s="2" t="n"/>
      <c r="B12" s="17" t="inlineStr">
        <is>
          <t>Etapa</t>
        </is>
      </c>
      <c r="C12" s="17" t="inlineStr">
        <is>
          <t>Base</t>
        </is>
      </c>
      <c r="D12" s="17" t="inlineStr">
        <is>
          <t>Alta</t>
        </is>
      </c>
      <c r="E12" s="17" t="inlineStr">
        <is>
          <t>Baixa</t>
        </is>
      </c>
      <c r="F12" s="17" t="inlineStr">
        <is>
          <t>Cenário</t>
        </is>
      </c>
      <c r="G12" s="17" t="inlineStr">
        <is>
          <t>Margem</t>
        </is>
      </c>
      <c r="H12" s="17" t="inlineStr">
        <is>
          <t>Preço sugerido</t>
        </is>
      </c>
      <c r="I12" s="17" t="inlineStr">
        <is>
          <t>Uso</t>
        </is>
      </c>
      <c r="J12" s="2" t="n"/>
      <c r="K12" s="2" t="n"/>
      <c r="L12" s="2" t="n"/>
      <c r="M12" s="2" t="n"/>
      <c r="N12" s="2" t="n"/>
    </row>
    <row r="13">
      <c r="A13" s="2" t="n"/>
      <c r="B13" s="18" t="inlineStr">
        <is>
          <t>Custo entrega</t>
        </is>
      </c>
      <c r="C13" s="19" t="n">
        <v>0</v>
      </c>
      <c r="D13" s="19">
        <f>IF(G13&gt;=0,G13,0)</f>
        <v/>
      </c>
      <c r="E13" s="19">
        <f>IF(G13&lt;0,-G13,0)</f>
        <v/>
      </c>
      <c r="F13" s="20" t="inlineStr">
        <is>
          <t>Mínimo</t>
        </is>
      </c>
      <c r="G13" s="21" t="n">
        <v>0.15</v>
      </c>
      <c r="H13" s="22">
        <f>$Z$44/(1-G13)</f>
        <v/>
      </c>
      <c r="I13" s="23" t="inlineStr">
        <is>
          <t>Entrar</t>
        </is>
      </c>
      <c r="J13" s="2" t="n"/>
      <c r="K13" s="2" t="n"/>
      <c r="L13" s="2" t="n"/>
      <c r="M13" s="2" t="n"/>
      <c r="N13" s="2" t="n"/>
    </row>
    <row r="14">
      <c r="A14" s="2" t="n"/>
      <c r="B14" s="18" t="inlineStr">
        <is>
          <t>+ Margem 30%</t>
        </is>
      </c>
      <c r="C14" s="19">
        <f>IF(G14&gt;=0,F13,F13+G14)</f>
        <v/>
      </c>
      <c r="D14" s="19">
        <f>IF(G14&gt;=0,G14,0)</f>
        <v/>
      </c>
      <c r="E14" s="19">
        <f>IF(G14&lt;0,-G14,0)</f>
        <v/>
      </c>
      <c r="F14" s="20" t="inlineStr">
        <is>
          <t>Ideal</t>
        </is>
      </c>
      <c r="G14" s="21" t="n">
        <v>0.3</v>
      </c>
      <c r="H14" s="22">
        <f>$Z$44/(1-G14)</f>
        <v/>
      </c>
      <c r="I14" s="23" t="inlineStr">
        <is>
          <t>Saudável</t>
        </is>
      </c>
      <c r="J14" s="2" t="n"/>
      <c r="K14" s="2" t="n"/>
      <c r="L14" s="2" t="n"/>
      <c r="M14" s="2" t="n"/>
      <c r="N14" s="2" t="n"/>
    </row>
    <row r="15">
      <c r="A15" s="2" t="n"/>
      <c r="B15" s="18" t="inlineStr">
        <is>
          <t>Preço ideal</t>
        </is>
      </c>
      <c r="C15" s="19" t="n">
        <v>0</v>
      </c>
      <c r="D15" s="19">
        <f>IF(G15&gt;=0,G15,0)</f>
        <v/>
      </c>
      <c r="E15" s="19">
        <f>IF(G15&lt;0,-G15,0)</f>
        <v/>
      </c>
      <c r="F15" s="20" t="inlineStr">
        <is>
          <t>Premium</t>
        </is>
      </c>
      <c r="G15" s="21" t="n">
        <v>0.5</v>
      </c>
      <c r="H15" s="22">
        <f>$Z$44/(1-G15)</f>
        <v/>
      </c>
      <c r="I15" s="23" t="inlineStr">
        <is>
          <t>Urgência</t>
        </is>
      </c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16" t="inlineStr">
        <is>
          <t>MINI-SPARKLINES</t>
        </is>
      </c>
      <c r="C25" s="2" t="n"/>
      <c r="D25" s="2" t="n"/>
      <c r="E25" s="2" t="n"/>
      <c r="F25" s="2" t="n"/>
      <c r="G25" s="2" t="n"/>
      <c r="H25" s="16" t="inlineStr">
        <is>
          <t>SPARK SENSIBILIDADE</t>
        </is>
      </c>
      <c r="I25" s="2" t="n"/>
      <c r="J25" s="2" t="n"/>
      <c r="K25" s="2" t="n"/>
      <c r="L25" s="2" t="n"/>
      <c r="M25" s="2" t="n"/>
      <c r="N25" s="2" t="n"/>
    </row>
    <row r="26" ht="18" customHeight="1">
      <c r="A26" s="2" t="n"/>
      <c r="B26" s="17" t="inlineStr">
        <is>
          <t>Indicador</t>
        </is>
      </c>
      <c r="C26" s="17" t="inlineStr">
        <is>
          <t>Atual</t>
        </is>
      </c>
      <c r="D26" s="17" t="inlineStr">
        <is>
          <t>S1</t>
        </is>
      </c>
      <c r="E26" s="17" t="inlineStr">
        <is>
          <t>S2</t>
        </is>
      </c>
      <c r="F26" s="17" t="inlineStr">
        <is>
          <t>S3</t>
        </is>
      </c>
      <c r="G26" s="17" t="inlineStr">
        <is>
          <t>S4</t>
        </is>
      </c>
      <c r="H26" s="17" t="inlineStr">
        <is>
          <t>Ponto</t>
        </is>
      </c>
      <c r="I26" s="17" t="inlineStr">
        <is>
          <t>Valor</t>
        </is>
      </c>
      <c r="J26" s="17" t="inlineStr">
        <is>
          <t>Spark</t>
        </is>
      </c>
      <c r="K26" s="2" t="n"/>
      <c r="L26" s="2" t="n"/>
      <c r="M26" s="2" t="n"/>
      <c r="N26" s="2" t="n"/>
    </row>
    <row r="27">
      <c r="A27" s="2" t="n"/>
      <c r="B27" s="18" t="inlineStr">
        <is>
          <t>Valor/hora</t>
        </is>
      </c>
      <c r="C27" s="24">
        <f>$Z$40</f>
        <v/>
      </c>
      <c r="D27" s="25" t="n">
        <v>180</v>
      </c>
      <c r="E27" s="25" t="n">
        <v>190</v>
      </c>
      <c r="F27" s="25" t="n">
        <v>200</v>
      </c>
      <c r="G27" s="25" t="n">
        <v>210</v>
      </c>
      <c r="H27" s="25" t="inlineStr">
        <is>
          <t>10%</t>
        </is>
      </c>
      <c r="I27" s="26">
        <f>$Z$44/(1-0.1)</f>
        <v/>
      </c>
      <c r="J27" s="27">
        <f>IF(OR(I27="",NOT(ISNUMBER(I27))),"",REPT("▬",MAX(1,ROUND((I27-(MIN(I27:I31)))/MAX(1E-9,(MAX(I27:I31))-(MIN(I27:I31)))*10,0))))</f>
        <v/>
      </c>
      <c r="K27" s="2" t="n"/>
      <c r="L27" s="2" t="n"/>
      <c r="M27" s="2" t="n"/>
      <c r="N27" s="2" t="n"/>
    </row>
    <row r="28">
      <c r="A28" s="2" t="n"/>
      <c r="B28" s="18" t="inlineStr">
        <is>
          <t>Break-even</t>
        </is>
      </c>
      <c r="C28" s="24">
        <f>$Z$41</f>
        <v/>
      </c>
      <c r="D28" s="25" t="n">
        <v>80</v>
      </c>
      <c r="E28" s="25" t="n">
        <v>75</v>
      </c>
      <c r="F28" s="25" t="n">
        <v>70</v>
      </c>
      <c r="G28" s="25" t="n">
        <v>65</v>
      </c>
      <c r="H28" s="25" t="inlineStr">
        <is>
          <t>20%</t>
        </is>
      </c>
      <c r="I28" s="26">
        <f>$Z$44/(1-0.2)</f>
        <v/>
      </c>
      <c r="J28" s="27">
        <f>IF(OR(I28="",NOT(ISNUMBER(I28))),"",REPT("▬",MAX(1,ROUND((I28-(MIN(I27:I31)))/MAX(1E-9,(MAX(I27:I31))-(MIN(I27:I31)))*10,0))))</f>
        <v/>
      </c>
      <c r="K28" s="2" t="n"/>
      <c r="L28" s="2" t="n"/>
      <c r="M28" s="2" t="n"/>
      <c r="N28" s="2" t="n"/>
    </row>
    <row r="29">
      <c r="A29" s="2" t="n"/>
      <c r="B29" s="18" t="inlineStr">
        <is>
          <t>Margem %</t>
        </is>
      </c>
      <c r="C29" s="24">
        <f>$Z$43*100</f>
        <v/>
      </c>
      <c r="D29" s="25" t="n">
        <v>60</v>
      </c>
      <c r="E29" s="25" t="n">
        <v>65</v>
      </c>
      <c r="F29" s="25" t="n">
        <v>70</v>
      </c>
      <c r="G29" s="25" t="n">
        <v>72</v>
      </c>
      <c r="H29" s="25" t="inlineStr">
        <is>
          <t>30%</t>
        </is>
      </c>
      <c r="I29" s="26">
        <f>$Z$44/(1-0.3)</f>
        <v/>
      </c>
      <c r="J29" s="27">
        <f>IF(OR(I29="",NOT(ISNUMBER(I29))),"",REPT("▬",MAX(1,ROUND((I29-(MIN(I27:I31)))/MAX(1E-9,(MAX(I27:I31))-(MIN(I27:I31)))*10,0))))</f>
        <v/>
      </c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8" t="inlineStr">
        <is>
          <t>40%</t>
        </is>
      </c>
      <c r="I30" s="26">
        <f>$Z$44/(1-0.4)</f>
        <v/>
      </c>
      <c r="J30" s="29">
        <f>IF(OR(I30="",NOT(ISNUMBER(I30))),"",REPT("▬",MAX(1,ROUND((I30-(MIN(I27:I31)))/MAX(1E-9,(MAX(I27:I31))-(MIN(I27:I31)))*10,0))))</f>
        <v/>
      </c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8" t="inlineStr">
        <is>
          <t>50%</t>
        </is>
      </c>
      <c r="I31" s="26">
        <f>$Z$44/(1-0.5)</f>
        <v/>
      </c>
      <c r="J31" s="29">
        <f>IF(OR(I31="",NOT(ISNUMBER(I31))),"",REPT("▬",MAX(1,ROUND((I31-(MIN(I27:I31)))/MAX(1E-9,(MAX(I27:I31))-(MIN(I27:I31)))*10,0))))</f>
        <v/>
      </c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Z40">
        <f>ENTRADAS!B11</f>
        <v/>
      </c>
    </row>
    <row r="41">
      <c r="Z41">
        <f>IFERROR(ENTRADAS!B6/ENTRADAS!B12,0)</f>
        <v/>
      </c>
    </row>
    <row r="42">
      <c r="Z42">
        <f>Z41*ENTRADAS!B9</f>
        <v/>
      </c>
    </row>
    <row r="43">
      <c r="Z43">
        <f>ENTRADAS!B13</f>
        <v/>
      </c>
    </row>
    <row r="44">
      <c r="Z44">
        <f>(ENTRADAS!B7*ENTRADAS!B11)+ENTRADAS!E7</f>
        <v/>
      </c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13:G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7:C29">
    <cfRule type="dataBar" priority="3">
      <dataBar>
        <cfvo type="min"/>
        <cfvo type="max"/>
        <color rgb="00C99C66"/>
      </dataBar>
    </cfRule>
  </conditionalFormatting>
  <printOptions horizontalCentered="1"/>
  <pageMargins left="0.25" right="0.25" top="0.3" bottom="0.3" header="0.1" footer="0.1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6" customWidth="1" min="3" max="3"/>
    <col width="30" customWidth="1" min="4" max="4"/>
    <col width="18" customWidth="1" min="5" max="5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Parâmetros de Precificação</t>
        </is>
      </c>
      <c r="B2" s="2" t="n"/>
      <c r="C2" s="2" t="n"/>
      <c r="D2" s="2" t="n"/>
      <c r="E2" s="2" t="n"/>
      <c r="F2" s="2" t="n"/>
      <c r="G2" s="2" t="n"/>
      <c r="H2" s="2" t="n"/>
    </row>
    <row r="3" ht="14" customHeight="1">
      <c r="A3" s="4" t="inlineStr">
        <is>
          <t>Ajuste as entradas para recalcular margens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30" t="inlineStr">
        <is>
          <t>Renda desejada / mês</t>
        </is>
      </c>
      <c r="B5" s="31" t="n">
        <v>20000</v>
      </c>
      <c r="C5" s="2" t="n"/>
      <c r="D5" s="30" t="inlineStr">
        <is>
          <t>Nome do serviço (avulso)</t>
        </is>
      </c>
      <c r="E5" s="32" t="inlineStr">
        <is>
          <t>Plano Pro</t>
        </is>
      </c>
      <c r="F5" s="2" t="n"/>
      <c r="G5" s="2" t="n"/>
      <c r="H5" s="2" t="n"/>
    </row>
    <row r="6">
      <c r="A6" s="30" t="inlineStr">
        <is>
          <t>Custos fixos / mês</t>
        </is>
      </c>
      <c r="B6" s="31" t="n">
        <v>7000</v>
      </c>
      <c r="C6" s="2" t="n"/>
      <c r="D6" s="30" t="inlineStr">
        <is>
          <t>Horas por entrega</t>
        </is>
      </c>
      <c r="E6" s="33" t="n">
        <v>6</v>
      </c>
      <c r="F6" s="2" t="n"/>
      <c r="G6" s="2" t="n"/>
      <c r="H6" s="2" t="n"/>
    </row>
    <row r="7">
      <c r="A7" s="30" t="inlineStr">
        <is>
          <t>Horas produtivas / mês</t>
        </is>
      </c>
      <c r="B7" s="34" t="n">
        <v>120</v>
      </c>
      <c r="C7" s="2" t="n"/>
      <c r="D7" s="30" t="inlineStr">
        <is>
          <t>Custos extras / entrega</t>
        </is>
      </c>
      <c r="E7" s="31" t="n">
        <v>120</v>
      </c>
      <c r="F7" s="2" t="n"/>
      <c r="G7" s="2" t="n"/>
      <c r="H7" s="2" t="n"/>
    </row>
    <row r="8">
      <c r="A8" s="30" t="inlineStr">
        <is>
          <t>Custo variável / unidade</t>
        </is>
      </c>
      <c r="B8" s="31" t="n">
        <v>35</v>
      </c>
      <c r="C8" s="2" t="n"/>
      <c r="D8" s="30" t="inlineStr">
        <is>
          <t>Preço-alvo do cliente</t>
        </is>
      </c>
      <c r="E8" s="31" t="n">
        <v>1200</v>
      </c>
      <c r="F8" s="2" t="n"/>
      <c r="G8" s="2" t="n"/>
      <c r="H8" s="2" t="n"/>
    </row>
    <row r="9">
      <c r="A9" s="30" t="inlineStr">
        <is>
          <t>Preço de venda padrão</t>
        </is>
      </c>
      <c r="B9" s="31" t="n">
        <v>149</v>
      </c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>
        <f>(B5+B6)/B7</f>
        <v/>
      </c>
      <c r="C11" s="2" t="n"/>
      <c r="D11" s="2" t="n"/>
      <c r="E11" s="2" t="n"/>
      <c r="F11" s="2" t="n"/>
      <c r="G11" s="2" t="n"/>
      <c r="H11" s="2" t="n"/>
    </row>
    <row r="12">
      <c r="A12" s="2" t="n"/>
      <c r="B12" s="2">
        <f>B9-B8</f>
        <v/>
      </c>
      <c r="C12" s="2" t="n"/>
      <c r="D12" s="2" t="n"/>
      <c r="E12" s="2" t="n"/>
      <c r="F12" s="2" t="n"/>
      <c r="G12" s="2" t="n"/>
      <c r="H12" s="2" t="n"/>
    </row>
    <row r="13">
      <c r="A13" s="2" t="n"/>
      <c r="B13" s="2">
        <f>IFERROR(B12/B9,0)</f>
        <v/>
      </c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2:E2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2026-07-22T20:17:03Z</dcterms:created>
  <dcterms:modified xmlns:dcterms="http://purl.org/dc/terms/" xmlns:xsi="http://www.w3.org/2001/XMLSchema-instance" xsi:type="dcterms:W3CDTF">2026-07-22T20:17:03Z</dcterms:modified>
</cp:coreProperties>
</file>