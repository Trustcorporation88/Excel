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ifl\AppData\Local\Temp\opencode\excel-site\public\planilhas\"/>
    </mc:Choice>
  </mc:AlternateContent>
  <xr:revisionPtr revIDLastSave="0" documentId="13_ncr:1_{C57B5A7E-37B2-4FDB-B2EB-A6DB2EC4AB67}" xr6:coauthVersionLast="47" xr6:coauthVersionMax="47" xr10:uidLastSave="{00000000-0000-0000-0000-000000000000}"/>
  <bookViews>
    <workbookView xWindow="735" yWindow="735" windowWidth="16200" windowHeight="9308" xr2:uid="{00000000-000D-0000-FFFF-FFFF00000000}"/>
  </bookViews>
  <sheets>
    <sheet name="DASHBOARD" sheetId="1" r:id="rId1"/>
    <sheet name="ENTRADAS" sheetId="2" r:id="rId2"/>
  </sheets>
  <definedNames>
    <definedName name="_xlnm.Print_Area" localSheetId="0">DASHBOARD!$A$1:$L$32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B13" i="2" s="1"/>
  <c r="Z43" i="1" s="1"/>
  <c r="B11" i="2"/>
  <c r="Z44" i="1"/>
  <c r="H14" i="1" s="1"/>
  <c r="Z41" i="1"/>
  <c r="Z42" i="1" s="1"/>
  <c r="F6" i="1" s="1"/>
  <c r="Z40" i="1"/>
  <c r="B6" i="1" s="1"/>
  <c r="I31" i="1"/>
  <c r="I30" i="1"/>
  <c r="I29" i="1"/>
  <c r="I28" i="1"/>
  <c r="C28" i="1"/>
  <c r="I27" i="1"/>
  <c r="J27" i="1" s="1"/>
  <c r="C27" i="1"/>
  <c r="H15" i="1"/>
  <c r="E15" i="1"/>
  <c r="D15" i="1"/>
  <c r="E14" i="1"/>
  <c r="D14" i="1"/>
  <c r="C14" i="1"/>
  <c r="H13" i="1"/>
  <c r="E13" i="1"/>
  <c r="D13" i="1"/>
  <c r="B9" i="1"/>
  <c r="J6" i="1"/>
  <c r="J28" i="1" l="1"/>
  <c r="J29" i="1"/>
  <c r="J30" i="1"/>
  <c r="J31" i="1"/>
  <c r="D6" i="1"/>
  <c r="H6" i="1"/>
  <c r="C29" i="1"/>
</calcChain>
</file>

<file path=xl/sharedStrings.xml><?xml version="1.0" encoding="utf-8"?>
<sst xmlns="http://schemas.openxmlformats.org/spreadsheetml/2006/main" count="59" uniqueCount="58">
  <si>
    <t>TRUST EXCEL  ·  TRUST CORPORATION</t>
  </si>
  <si>
    <t>Motor de Precificação</t>
  </si>
  <si>
    <t>Valor/hora · break-even · cenários de proposta</t>
  </si>
  <si>
    <t>VALOR DA HORA</t>
  </si>
  <si>
    <t>BREAK-EVEN (un.)</t>
  </si>
  <si>
    <t>FATURAM. MÍNIMO</t>
  </si>
  <si>
    <t>MARGEM CONTRIB.</t>
  </si>
  <si>
    <t>PREÇO-ALVO</t>
  </si>
  <si>
    <t>CASCATA PREÇO IDEAL</t>
  </si>
  <si>
    <t>3 CENÁRIOS DE PROPOSTA</t>
  </si>
  <si>
    <t>Etapa</t>
  </si>
  <si>
    <t>Base</t>
  </si>
  <si>
    <t>Alta</t>
  </si>
  <si>
    <t>Baixa</t>
  </si>
  <si>
    <t>Cenário</t>
  </si>
  <si>
    <t>Margem</t>
  </si>
  <si>
    <t>Preço sugerido</t>
  </si>
  <si>
    <t>Uso</t>
  </si>
  <si>
    <t>Custo entrega</t>
  </si>
  <si>
    <t>Mínimo</t>
  </si>
  <si>
    <t>Entrar</t>
  </si>
  <si>
    <t>+ Margem 30%</t>
  </si>
  <si>
    <t>Ideal</t>
  </si>
  <si>
    <t>Saudável</t>
  </si>
  <si>
    <t>Preço ideal</t>
  </si>
  <si>
    <t>Premium</t>
  </si>
  <si>
    <t>Urgência</t>
  </si>
  <si>
    <t>MINI-SPARKLINES</t>
  </si>
  <si>
    <t>SPARK SENSIBILIDADE</t>
  </si>
  <si>
    <t>Indicador</t>
  </si>
  <si>
    <t>Atual</t>
  </si>
  <si>
    <t>S1</t>
  </si>
  <si>
    <t>S2</t>
  </si>
  <si>
    <t>S3</t>
  </si>
  <si>
    <t>S4</t>
  </si>
  <si>
    <t>Ponto</t>
  </si>
  <si>
    <t>Valor</t>
  </si>
  <si>
    <t>Spark</t>
  </si>
  <si>
    <t>Valor/hora</t>
  </si>
  <si>
    <t>10%</t>
  </si>
  <si>
    <t>Break-even</t>
  </si>
  <si>
    <t>20%</t>
  </si>
  <si>
    <t>Margem %</t>
  </si>
  <si>
    <t>30%</t>
  </si>
  <si>
    <t>40%</t>
  </si>
  <si>
    <t>50%</t>
  </si>
  <si>
    <t>Parâmetros de Precificação</t>
  </si>
  <si>
    <t>Ajuste as entradas para recalcular margens</t>
  </si>
  <si>
    <t>Renda desejada / mês</t>
  </si>
  <si>
    <t>Nome do serviço (avulso)</t>
  </si>
  <si>
    <t>Plano Pro</t>
  </si>
  <si>
    <t>Custos fixos / mês</t>
  </si>
  <si>
    <t>Horas por entrega</t>
  </si>
  <si>
    <t>Horas produtivas / mês</t>
  </si>
  <si>
    <t>Custos extras / entrega</t>
  </si>
  <si>
    <t>Custo variável / unidade</t>
  </si>
  <si>
    <t>Preço-alvo do cliente</t>
  </si>
  <si>
    <t>Preço de venda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</si>
</sst>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"/>
    <numFmt numFmtId="165" formatCode="0.0"/>
    <numFmt numFmtId="166" formatCode="&quot;R$&quot;\ #,##0.00"/>
    <numFmt numFmtId="167" formatCode="#,##0;\(#,##0\);&quot;—&quot;"/>
    <numFmt numFmtId="168" formatCode="#,##0.0;\(#,##0.0\);&quot;—&quot;"/>
  </numFmts>
  <fonts count="21" x14ac:knownFonts="1">
    <font>
      <sz val="11"/>
      <color theme="1"/>
      <name val="Calibri"/>
      <family val="2"/>
      <scheme val="minor"/>
    </font>
    <font>
      <b/>
      <sz val="8"/>
      <color rgb="FFC99C66"/>
      <name val="Calibri"/>
    </font>
    <font>
      <b/>
      <sz val="22"/>
      <color rgb="FFF3ECDD"/>
      <name val="Calibri"/>
    </font>
    <font>
      <i/>
      <sz val="9"/>
      <color rgb="FF8A9691"/>
      <name val="Calibri"/>
    </font>
    <font>
      <sz val="10"/>
      <color rgb="FF8A9691"/>
      <name val="Calibri"/>
    </font>
    <font>
      <b/>
      <sz val="11"/>
      <color rgb="FFC99C66"/>
      <name val="Calibri"/>
    </font>
    <font>
      <b/>
      <sz val="7"/>
      <color rgb="FF8A9691"/>
      <name val="Calibri"/>
    </font>
    <font>
      <b/>
      <sz val="18"/>
      <color rgb="FFC99C66"/>
      <name val="Calibri"/>
    </font>
    <font>
      <i/>
      <sz val="7"/>
      <color rgb="FF8A9691"/>
      <name val="Calibri"/>
    </font>
    <font>
      <b/>
      <sz val="18"/>
      <color rgb="FFE0A94B"/>
      <name val="Calibri"/>
    </font>
    <font>
      <b/>
      <sz val="18"/>
      <color rgb="FF43D07F"/>
      <name val="Calibri"/>
    </font>
    <font>
      <b/>
      <sz val="10"/>
      <color rgb="FFF3ECDD"/>
      <name val="Calibri"/>
    </font>
    <font>
      <b/>
      <sz val="9"/>
      <color rgb="FFC99C66"/>
      <name val="Calibri"/>
    </font>
    <font>
      <b/>
      <sz val="8"/>
      <color rgb="FFF3ECDD"/>
      <name val="Calibri"/>
    </font>
    <font>
      <sz val="8"/>
      <color rgb="FFF3ECDD"/>
      <name val="Calibri"/>
    </font>
    <font>
      <sz val="8"/>
      <color rgb="FF8A9691"/>
      <name val="Calibri"/>
    </font>
    <font>
      <sz val="9"/>
      <color rgb="FFF3ECDD"/>
      <name val="Calibri"/>
    </font>
    <font>
      <b/>
      <sz val="10"/>
      <color rgb="FFC99C66"/>
      <name val="Calibri"/>
    </font>
    <font>
      <sz val="7"/>
      <color rgb="FF8A9691"/>
      <name val="Calibri"/>
    </font>
    <font>
      <sz val="8"/>
      <color rgb="FFC99C66"/>
      <name val="Calibri"/>
    </font>
    <font>
      <sz val="7"/>
      <color rgb="FF43D07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1210"/>
      </patternFill>
    </fill>
    <fill>
      <patternFill patternType="solid">
        <fgColor rgb="FF182620"/>
      </patternFill>
    </fill>
    <fill>
      <patternFill patternType="solid">
        <fgColor rgb="FF1E3028"/>
      </patternFill>
    </fill>
    <fill>
      <patternFill patternType="solid">
        <fgColor rgb="FF121C18"/>
      </patternFill>
    </fill>
  </fills>
  <borders count="3">
    <border>
      <left/>
      <right/>
      <top/>
      <bottom/>
      <diagonal/>
    </border>
    <border>
      <left style="thin">
        <color rgb="FF2A3D34"/>
      </left>
      <right style="thin">
        <color rgb="FF2A3D34"/>
      </right>
      <top style="thin">
        <color rgb="FF2A3D34"/>
      </top>
      <bottom style="thin">
        <color rgb="FF2A3D34"/>
      </bottom>
      <diagonal/>
    </border>
    <border>
      <left style="thin">
        <color rgb="FF2A3D34"/>
      </left>
      <right style="thin">
        <color rgb="FF2A3D34"/>
      </right>
      <top style="thin">
        <color rgb="FFC99C66"/>
      </top>
      <bottom style="thin">
        <color rgb="FF2A3D3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2" fillId="2" borderId="0" xfId="0" applyFont="1" applyFill="1" applyAlignment="1">
      <alignment horizontal="left" vertical="center"/>
    </xf>
    <xf numFmtId="0" fontId="13" fillId="5" borderId="1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167" fontId="15" fillId="2" borderId="1" xfId="0" applyNumberFormat="1" applyFont="1" applyFill="1" applyBorder="1"/>
    <xf numFmtId="167" fontId="16" fillId="2" borderId="1" xfId="0" applyNumberFormat="1" applyFont="1" applyFill="1" applyBorder="1"/>
    <xf numFmtId="9" fontId="1" fillId="2" borderId="1" xfId="0" applyNumberFormat="1" applyFont="1" applyFill="1" applyBorder="1"/>
    <xf numFmtId="164" fontId="17" fillId="2" borderId="1" xfId="0" applyNumberFormat="1" applyFont="1" applyFill="1" applyBorder="1"/>
    <xf numFmtId="0" fontId="15" fillId="2" borderId="1" xfId="0" applyFont="1" applyFill="1" applyBorder="1"/>
    <xf numFmtId="168" fontId="12" fillId="2" borderId="1" xfId="0" applyNumberFormat="1" applyFont="1" applyFill="1" applyBorder="1"/>
    <xf numFmtId="1" fontId="18" fillId="2" borderId="1" xfId="0" applyNumberFormat="1" applyFont="1" applyFill="1" applyBorder="1"/>
    <xf numFmtId="168" fontId="19" fillId="2" borderId="1" xfId="0" applyNumberFormat="1" applyFont="1" applyFill="1" applyBorder="1"/>
    <xf numFmtId="0" fontId="20" fillId="2" borderId="1" xfId="0" applyFont="1" applyFill="1" applyBorder="1" applyAlignment="1">
      <alignment horizontal="center" vertical="center"/>
    </xf>
    <xf numFmtId="0" fontId="18" fillId="2" borderId="1" xfId="0" applyFont="1" applyFill="1" applyBorder="1"/>
    <xf numFmtId="0" fontId="20" fillId="2" borderId="1" xfId="0" applyFont="1" applyFill="1" applyBorder="1"/>
    <xf numFmtId="0" fontId="4" fillId="2" borderId="0" xfId="0" applyFont="1" applyFill="1"/>
    <xf numFmtId="164" fontId="5" fillId="3" borderId="1" xfId="0" applyNumberFormat="1" applyFont="1" applyFill="1" applyBorder="1"/>
    <xf numFmtId="49" fontId="5" fillId="3" borderId="1" xfId="0" applyNumberFormat="1" applyFont="1" applyFill="1" applyBorder="1"/>
    <xf numFmtId="165" fontId="5" fillId="3" borderId="1" xfId="0" applyNumberFormat="1" applyFont="1" applyFill="1" applyBorder="1"/>
    <xf numFmtId="1" fontId="5" fillId="3" borderId="1" xfId="0" applyNumberFormat="1" applyFont="1" applyFill="1" applyBorder="1"/>
    <xf numFmtId="0" fontId="8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6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1" fillId="3" borderId="1" xfId="0" applyFont="1" applyFill="1" applyBorder="1" applyAlignment="1">
      <alignment horizontal="left" vertical="center" indent="1"/>
    </xf>
    <xf numFmtId="164" fontId="9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3" fillId="2" borderId="0" xfId="0" applyFont="1" applyFill="1" applyAlignment="1">
      <alignment horizontal="left" vertical="center" indent="1"/>
    </xf>
    <xf numFmtId="0" fontId="0" fillId="2" borderId="0" xfId="0" applyFill="1"/>
    <xf numFmtId="1" fontId="9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9" fontId="10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2">
    <dxf>
      <font>
        <b/>
        <sz val="8"/>
        <color rgb="FFD9534F"/>
        <name val="Calibri"/>
      </font>
    </dxf>
    <dxf>
      <font>
        <b/>
        <sz val="8"/>
        <color rgb="FF43D07F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Cascata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DASHBOARD!$C$12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DASHBOARD!$B$13:$B$15</c:f>
              <c:strCache>
                <c:ptCount val="3"/>
                <c:pt idx="0">
                  <c:v>Custo entrega</c:v>
                </c:pt>
                <c:pt idx="1">
                  <c:v>+ Margem 30%</c:v>
                </c:pt>
                <c:pt idx="2">
                  <c:v>Preço ideal</c:v>
                </c:pt>
              </c:strCache>
            </c:strRef>
          </c:cat>
          <c:val>
            <c:numRef>
              <c:f>DASHBOARD!$C$13:$C$15</c:f>
              <c:numCache>
                <c:formatCode>#,##0;\(#,##0\);"—"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F-4B50-9D43-4B714EC8BA82}"/>
            </c:ext>
          </c:extLst>
        </c:ser>
        <c:ser>
          <c:idx val="1"/>
          <c:order val="1"/>
          <c:tx>
            <c:strRef>
              <c:f>DASHBOARD!$D$12</c:f>
              <c:strCache>
                <c:ptCount val="1"/>
                <c:pt idx="0">
                  <c:v>Alta</c:v>
                </c:pt>
              </c:strCache>
            </c:strRef>
          </c:tx>
          <c:spPr>
            <a:solidFill>
              <a:srgbClr val="2E9E5B"/>
            </a:solidFill>
            <a:ln>
              <a:prstDash val="solid"/>
            </a:ln>
          </c:spPr>
          <c:invertIfNegative val="1"/>
          <c:cat>
            <c:strRef>
              <c:f>DASHBOARD!$B$13:$B$15</c:f>
              <c:strCache>
                <c:ptCount val="3"/>
                <c:pt idx="0">
                  <c:v>Custo entrega</c:v>
                </c:pt>
                <c:pt idx="1">
                  <c:v>+ Margem 30%</c:v>
                </c:pt>
                <c:pt idx="2">
                  <c:v>Preço ideal</c:v>
                </c:pt>
              </c:strCache>
            </c:strRef>
          </c:cat>
          <c:val>
            <c:numRef>
              <c:f>DASHBOARD!$D$13:$D$15</c:f>
              <c:numCache>
                <c:formatCode>#,##0;\(#,##0\);"—"</c:formatCode>
                <c:ptCount val="3"/>
                <c:pt idx="0">
                  <c:v>0.15</c:v>
                </c:pt>
                <c:pt idx="1">
                  <c:v>0.3</c:v>
                </c:pt>
                <c:pt idx="2">
                  <c:v>0.5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21F-4B50-9D43-4B714EC8BA82}"/>
            </c:ext>
          </c:extLst>
        </c:ser>
        <c:ser>
          <c:idx val="2"/>
          <c:order val="2"/>
          <c:tx>
            <c:strRef>
              <c:f>DASHBOARD!$E$12</c:f>
              <c:strCache>
                <c:ptCount val="1"/>
                <c:pt idx="0">
                  <c:v>Baixa</c:v>
                </c:pt>
              </c:strCache>
            </c:strRef>
          </c:tx>
          <c:spPr>
            <a:solidFill>
              <a:srgbClr val="D9534F"/>
            </a:solidFill>
            <a:ln>
              <a:prstDash val="solid"/>
            </a:ln>
          </c:spPr>
          <c:invertIfNegative val="1"/>
          <c:cat>
            <c:strRef>
              <c:f>DASHBOARD!$B$13:$B$15</c:f>
              <c:strCache>
                <c:ptCount val="3"/>
                <c:pt idx="0">
                  <c:v>Custo entrega</c:v>
                </c:pt>
                <c:pt idx="1">
                  <c:v>+ Margem 30%</c:v>
                </c:pt>
                <c:pt idx="2">
                  <c:v>Preço ideal</c:v>
                </c:pt>
              </c:strCache>
            </c:strRef>
          </c:cat>
          <c:val>
            <c:numRef>
              <c:f>DASHBOARD!$E$13:$E$15</c:f>
              <c:numCache>
                <c:formatCode>#,##0;\(#,##0\);"—"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21F-4B50-9D43-4B714EC8B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\(#,##0\);&quot;—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DASHBOARD!$H$12</c:f>
              <c:strCache>
                <c:ptCount val="1"/>
                <c:pt idx="0">
                  <c:v>Preço sugerido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DASHBOARD!$F$13:$F$15</c:f>
              <c:strCache>
                <c:ptCount val="3"/>
                <c:pt idx="0">
                  <c:v>Mínimo</c:v>
                </c:pt>
                <c:pt idx="1">
                  <c:v>Ideal</c:v>
                </c:pt>
                <c:pt idx="2">
                  <c:v>Premium</c:v>
                </c:pt>
              </c:strCache>
            </c:strRef>
          </c:cat>
          <c:val>
            <c:numRef>
              <c:f>DASHBOARD!$H$13:$H$15</c:f>
              <c:numCache>
                <c:formatCode>"R$"\ #,##0</c:formatCode>
                <c:ptCount val="3"/>
                <c:pt idx="0">
                  <c:v>31905.882352941178</c:v>
                </c:pt>
                <c:pt idx="1">
                  <c:v>38742.857142857145</c:v>
                </c:pt>
                <c:pt idx="2">
                  <c:v>54240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B-42BA-92FC-FA547D1B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R$&quot;\ 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DASHBOARD!$I$26</c:f>
              <c:strCache>
                <c:ptCount val="1"/>
                <c:pt idx="0">
                  <c:v>Valor</c:v>
                </c:pt>
              </c:strCache>
            </c:strRef>
          </c:tx>
          <c:spPr>
            <a:ln w="15000">
              <a:solidFill>
                <a:srgbClr val="C99C66"/>
              </a:solidFill>
              <a:prstDash val="solid"/>
            </a:ln>
          </c:spPr>
          <c:marker>
            <c:symbol val="none"/>
          </c:marker>
          <c:cat>
            <c:strRef>
              <c:f>DASHBOARD!$H$27:$H$31</c:f>
              <c:strCache>
                <c:ptCount val="5"/>
                <c:pt idx="0">
                  <c:v>10%</c:v>
                </c:pt>
                <c:pt idx="1">
                  <c:v>20%</c:v>
                </c:pt>
                <c:pt idx="2">
                  <c:v>30%</c:v>
                </c:pt>
                <c:pt idx="3">
                  <c:v>40%</c:v>
                </c:pt>
                <c:pt idx="4">
                  <c:v>50%</c:v>
                </c:pt>
              </c:strCache>
            </c:strRef>
          </c:cat>
          <c:val>
            <c:numRef>
              <c:f>DASHBOARD!$I$27:$I$31</c:f>
              <c:numCache>
                <c:formatCode>#,##0.0;\(#,##0.0\);"—"</c:formatCode>
                <c:ptCount val="5"/>
                <c:pt idx="0">
                  <c:v>30133.333333333332</c:v>
                </c:pt>
                <c:pt idx="1">
                  <c:v>33900</c:v>
                </c:pt>
                <c:pt idx="2">
                  <c:v>38742.857142857145</c:v>
                </c:pt>
                <c:pt idx="3">
                  <c:v>45200</c:v>
                </c:pt>
                <c:pt idx="4">
                  <c:v>54240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A6-4841-AA80-6F49DB2A6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.0;\(#,##0.0\);&quot;—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2880000" cy="151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15</xdr:row>
      <xdr:rowOff>0</xdr:rowOff>
    </xdr:from>
    <xdr:ext cx="2880000" cy="16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24</xdr:row>
      <xdr:rowOff>0</xdr:rowOff>
    </xdr:from>
    <xdr:ext cx="1980000" cy="1007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4"/>
  <sheetViews>
    <sheetView showGridLines="0" tabSelected="1" workbookViewId="0">
      <pane ySplit="4" topLeftCell="A5" activePane="bottomLeft" state="frozen"/>
      <selection pane="bottomLeft" sqref="A1:L1"/>
    </sheetView>
  </sheetViews>
  <sheetFormatPr defaultRowHeight="14.25" x14ac:dyDescent="0.45"/>
  <cols>
    <col min="1" max="1" width="2" customWidth="1"/>
    <col min="2" max="12" width="14" customWidth="1"/>
    <col min="26" max="31" width="13" hidden="1" customWidth="1"/>
  </cols>
  <sheetData>
    <row r="1" spans="1:14" ht="14" customHeight="1" x14ac:dyDescent="0.45">
      <c r="A1" s="35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1"/>
      <c r="N1" s="1"/>
    </row>
    <row r="2" spans="1:14" ht="28.05" customHeight="1" x14ac:dyDescent="0.45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1"/>
      <c r="N2" s="1"/>
    </row>
    <row r="3" spans="1:14" ht="14" customHeight="1" x14ac:dyDescent="0.45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"/>
      <c r="N3" s="1"/>
    </row>
    <row r="4" spans="1:14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3.05" customHeight="1" x14ac:dyDescent="0.45">
      <c r="A5" s="1"/>
      <c r="B5" s="23" t="s">
        <v>3</v>
      </c>
      <c r="C5" s="24"/>
      <c r="D5" s="23" t="s">
        <v>4</v>
      </c>
      <c r="E5" s="24"/>
      <c r="F5" s="23" t="s">
        <v>5</v>
      </c>
      <c r="G5" s="24"/>
      <c r="H5" s="23" t="s">
        <v>6</v>
      </c>
      <c r="I5" s="24"/>
      <c r="J5" s="23" t="s">
        <v>7</v>
      </c>
      <c r="K5" s="24"/>
      <c r="L5" s="1"/>
      <c r="M5" s="1"/>
      <c r="N5" s="1"/>
    </row>
    <row r="6" spans="1:14" ht="28.05" customHeight="1" x14ac:dyDescent="0.45">
      <c r="A6" s="1"/>
      <c r="B6" s="34">
        <f>Z40</f>
        <v>225</v>
      </c>
      <c r="C6" s="27"/>
      <c r="D6" s="30">
        <f>Z41</f>
        <v>61.403508771929822</v>
      </c>
      <c r="E6" s="27"/>
      <c r="F6" s="26">
        <f>Z42</f>
        <v>9149.1228070175439</v>
      </c>
      <c r="G6" s="27"/>
      <c r="H6" s="32">
        <f>Z43</f>
        <v>0.7651006711409396</v>
      </c>
      <c r="I6" s="27"/>
      <c r="J6" s="33">
        <f>ENTRADAS!E8</f>
        <v>1200</v>
      </c>
      <c r="K6" s="27"/>
      <c r="L6" s="1"/>
      <c r="M6" s="1"/>
      <c r="N6" s="1"/>
    </row>
    <row r="7" spans="1:14" ht="12" customHeight="1" x14ac:dyDescent="0.45">
      <c r="A7" s="1"/>
      <c r="B7" s="21"/>
      <c r="C7" s="22"/>
      <c r="D7" s="21"/>
      <c r="E7" s="22"/>
      <c r="F7" s="21"/>
      <c r="G7" s="22"/>
      <c r="H7" s="21"/>
      <c r="I7" s="22"/>
      <c r="J7" s="21"/>
      <c r="K7" s="22"/>
      <c r="L7" s="1"/>
      <c r="M7" s="1"/>
      <c r="N7" s="1"/>
    </row>
    <row r="8" spans="1:14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8" customHeight="1" x14ac:dyDescent="0.45">
      <c r="A9" s="1"/>
      <c r="B9" s="25" t="str">
        <f>CONCATENATE("Para bater o preço-alvo com 30% de margem, gaste no máx. ",TEXT(MAX(0,((ENTRADAS!E8*0.7)-ENTRADAS!E7)/ENTRADAS!B11),"0.0")," horas.")</f>
        <v>Para bater o preço-alvo com 30% de margem, gaste no máx. 03 horas.</v>
      </c>
      <c r="C9" s="22"/>
      <c r="D9" s="22"/>
      <c r="E9" s="22"/>
      <c r="F9" s="22"/>
      <c r="G9" s="22"/>
      <c r="H9" s="22"/>
      <c r="I9" s="22"/>
      <c r="J9" s="22"/>
      <c r="K9" s="22"/>
      <c r="L9" s="1"/>
      <c r="M9" s="1"/>
      <c r="N9" s="1"/>
    </row>
    <row r="10" spans="1:14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45">
      <c r="A11" s="1"/>
      <c r="B11" s="2" t="s">
        <v>8</v>
      </c>
      <c r="C11" s="1"/>
      <c r="D11" s="1"/>
      <c r="E11" s="1"/>
      <c r="F11" s="2" t="s">
        <v>9</v>
      </c>
      <c r="G11" s="1"/>
      <c r="H11" s="1"/>
      <c r="I11" s="1"/>
      <c r="J11" s="1"/>
      <c r="K11" s="1"/>
      <c r="L11" s="1"/>
      <c r="M11" s="1"/>
      <c r="N11" s="1"/>
    </row>
    <row r="12" spans="1:14" ht="18" customHeight="1" x14ac:dyDescent="0.45">
      <c r="A12" s="1"/>
      <c r="B12" s="3" t="s">
        <v>10</v>
      </c>
      <c r="C12" s="3" t="s">
        <v>11</v>
      </c>
      <c r="D12" s="3" t="s">
        <v>12</v>
      </c>
      <c r="E12" s="3" t="s">
        <v>13</v>
      </c>
      <c r="F12" s="3" t="s">
        <v>14</v>
      </c>
      <c r="G12" s="3" t="s">
        <v>15</v>
      </c>
      <c r="H12" s="3" t="s">
        <v>16</v>
      </c>
      <c r="I12" s="3" t="s">
        <v>17</v>
      </c>
      <c r="J12" s="1"/>
      <c r="K12" s="1"/>
      <c r="L12" s="1"/>
      <c r="M12" s="1"/>
      <c r="N12" s="1"/>
    </row>
    <row r="13" spans="1:14" x14ac:dyDescent="0.45">
      <c r="A13" s="1"/>
      <c r="B13" s="4" t="s">
        <v>18</v>
      </c>
      <c r="C13" s="5">
        <v>0</v>
      </c>
      <c r="D13" s="5">
        <f>IF(G13&gt;=0,G13,0)</f>
        <v>0.15</v>
      </c>
      <c r="E13" s="5">
        <f>IF(G13&lt;0,-G13,0)</f>
        <v>0</v>
      </c>
      <c r="F13" s="6" t="s">
        <v>19</v>
      </c>
      <c r="G13" s="7">
        <v>0.15</v>
      </c>
      <c r="H13" s="8">
        <f>$Z$44/(1-G13)</f>
        <v>31905.882352941178</v>
      </c>
      <c r="I13" s="9" t="s">
        <v>20</v>
      </c>
      <c r="J13" s="1"/>
      <c r="K13" s="1"/>
      <c r="L13" s="1"/>
      <c r="M13" s="1"/>
      <c r="N13" s="1"/>
    </row>
    <row r="14" spans="1:14" x14ac:dyDescent="0.45">
      <c r="A14" s="1"/>
      <c r="B14" s="4" t="s">
        <v>21</v>
      </c>
      <c r="C14" s="5" t="str">
        <f>IF(G14&gt;=0,F13,F13+G14)</f>
        <v>Mínimo</v>
      </c>
      <c r="D14" s="5">
        <f>IF(G14&gt;=0,G14,0)</f>
        <v>0.3</v>
      </c>
      <c r="E14" s="5">
        <f>IF(G14&lt;0,-G14,0)</f>
        <v>0</v>
      </c>
      <c r="F14" s="6" t="s">
        <v>22</v>
      </c>
      <c r="G14" s="7">
        <v>0.3</v>
      </c>
      <c r="H14" s="8">
        <f>$Z$44/(1-G14)</f>
        <v>38742.857142857145</v>
      </c>
      <c r="I14" s="9" t="s">
        <v>23</v>
      </c>
      <c r="J14" s="1"/>
      <c r="K14" s="1"/>
      <c r="L14" s="1"/>
      <c r="M14" s="1"/>
      <c r="N14" s="1"/>
    </row>
    <row r="15" spans="1:14" x14ac:dyDescent="0.45">
      <c r="A15" s="1"/>
      <c r="B15" s="4" t="s">
        <v>24</v>
      </c>
      <c r="C15" s="5">
        <v>0</v>
      </c>
      <c r="D15" s="5">
        <f>IF(G15&gt;=0,G15,0)</f>
        <v>0.5</v>
      </c>
      <c r="E15" s="5">
        <f>IF(G15&lt;0,-G15,0)</f>
        <v>0</v>
      </c>
      <c r="F15" s="6" t="s">
        <v>25</v>
      </c>
      <c r="G15" s="7">
        <v>0.5</v>
      </c>
      <c r="H15" s="8">
        <f>$Z$44/(1-G15)</f>
        <v>54240</v>
      </c>
      <c r="I15" s="9" t="s">
        <v>26</v>
      </c>
      <c r="J15" s="1"/>
      <c r="K15" s="1"/>
      <c r="L15" s="1"/>
      <c r="M15" s="1"/>
      <c r="N15" s="1"/>
    </row>
    <row r="16" spans="1:14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45">
      <c r="A25" s="1"/>
      <c r="B25" s="2" t="s">
        <v>27</v>
      </c>
      <c r="C25" s="1"/>
      <c r="D25" s="1"/>
      <c r="E25" s="1"/>
      <c r="F25" s="1"/>
      <c r="G25" s="1"/>
      <c r="H25" s="2" t="s">
        <v>28</v>
      </c>
      <c r="I25" s="1"/>
      <c r="J25" s="1"/>
      <c r="K25" s="1"/>
      <c r="L25" s="1"/>
      <c r="M25" s="1"/>
      <c r="N25" s="1"/>
    </row>
    <row r="26" spans="1:14" ht="18" customHeight="1" x14ac:dyDescent="0.45">
      <c r="A26" s="1"/>
      <c r="B26" s="3" t="s">
        <v>29</v>
      </c>
      <c r="C26" s="3" t="s">
        <v>30</v>
      </c>
      <c r="D26" s="3" t="s">
        <v>31</v>
      </c>
      <c r="E26" s="3" t="s">
        <v>32</v>
      </c>
      <c r="F26" s="3" t="s">
        <v>33</v>
      </c>
      <c r="G26" s="3" t="s">
        <v>34</v>
      </c>
      <c r="H26" s="3" t="s">
        <v>35</v>
      </c>
      <c r="I26" s="3" t="s">
        <v>36</v>
      </c>
      <c r="J26" s="3" t="s">
        <v>37</v>
      </c>
      <c r="K26" s="1"/>
      <c r="L26" s="1"/>
      <c r="M26" s="1"/>
      <c r="N26" s="1"/>
    </row>
    <row r="27" spans="1:14" x14ac:dyDescent="0.45">
      <c r="A27" s="1"/>
      <c r="B27" s="4" t="s">
        <v>38</v>
      </c>
      <c r="C27" s="10">
        <f>$Z$40</f>
        <v>225</v>
      </c>
      <c r="D27" s="11">
        <v>180</v>
      </c>
      <c r="E27" s="11">
        <v>190</v>
      </c>
      <c r="F27" s="11">
        <v>200</v>
      </c>
      <c r="G27" s="11">
        <v>210</v>
      </c>
      <c r="H27" s="11" t="s">
        <v>39</v>
      </c>
      <c r="I27" s="12">
        <f>$Z$44/(1-0.1)</f>
        <v>30133.333333333332</v>
      </c>
      <c r="J27" s="13" t="str">
        <f>IF(OR(I27="",NOT(ISNUMBER(I27))),"",REPT("▬",MAX(1,ROUND((I27-(MIN(I27:I31)))/MAX(0.000000001,(MAX(I27:I31))-(MIN(I27:I31)))*10,0))))</f>
        <v>▬</v>
      </c>
      <c r="K27" s="1"/>
      <c r="L27" s="1"/>
      <c r="M27" s="1"/>
      <c r="N27" s="1"/>
    </row>
    <row r="28" spans="1:14" x14ac:dyDescent="0.45">
      <c r="A28" s="1"/>
      <c r="B28" s="4" t="s">
        <v>40</v>
      </c>
      <c r="C28" s="10">
        <f>$Z$41</f>
        <v>61.403508771929822</v>
      </c>
      <c r="D28" s="11">
        <v>80</v>
      </c>
      <c r="E28" s="11">
        <v>75</v>
      </c>
      <c r="F28" s="11">
        <v>70</v>
      </c>
      <c r="G28" s="11">
        <v>65</v>
      </c>
      <c r="H28" s="11" t="s">
        <v>41</v>
      </c>
      <c r="I28" s="12">
        <f>$Z$44/(1-0.2)</f>
        <v>33900</v>
      </c>
      <c r="J28" s="13" t="str">
        <f>IF(OR(I28="",NOT(ISNUMBER(I28))),"",REPT("▬",MAX(1,ROUND((I28-(MIN(I27:I31)))/MAX(0.000000001,(MAX(I27:I31))-(MIN(I27:I31)))*10,0))))</f>
        <v>▬▬</v>
      </c>
      <c r="K28" s="1"/>
      <c r="L28" s="1"/>
      <c r="M28" s="1"/>
      <c r="N28" s="1"/>
    </row>
    <row r="29" spans="1:14" x14ac:dyDescent="0.45">
      <c r="A29" s="1"/>
      <c r="B29" s="4" t="s">
        <v>42</v>
      </c>
      <c r="C29" s="10">
        <f>$Z$43*100</f>
        <v>76.510067114093957</v>
      </c>
      <c r="D29" s="11">
        <v>60</v>
      </c>
      <c r="E29" s="11">
        <v>65</v>
      </c>
      <c r="F29" s="11">
        <v>70</v>
      </c>
      <c r="G29" s="11">
        <v>72</v>
      </c>
      <c r="H29" s="11" t="s">
        <v>43</v>
      </c>
      <c r="I29" s="12">
        <f>$Z$44/(1-0.3)</f>
        <v>38742.857142857145</v>
      </c>
      <c r="J29" s="13" t="str">
        <f>IF(OR(I29="",NOT(ISNUMBER(I29))),"",REPT("▬",MAX(1,ROUND((I29-(MIN(I27:I31)))/MAX(0.000000001,(MAX(I27:I31))-(MIN(I27:I31)))*10,0))))</f>
        <v>▬▬▬▬</v>
      </c>
      <c r="K29" s="1"/>
      <c r="L29" s="1"/>
      <c r="M29" s="1"/>
      <c r="N29" s="1"/>
    </row>
    <row r="30" spans="1:14" x14ac:dyDescent="0.45">
      <c r="A30" s="1"/>
      <c r="B30" s="1"/>
      <c r="C30" s="1"/>
      <c r="D30" s="1"/>
      <c r="E30" s="1"/>
      <c r="F30" s="1"/>
      <c r="G30" s="1"/>
      <c r="H30" s="14" t="s">
        <v>44</v>
      </c>
      <c r="I30" s="12">
        <f>$Z$44/(1-0.4)</f>
        <v>45200</v>
      </c>
      <c r="J30" s="15" t="str">
        <f>IF(OR(I30="",NOT(ISNUMBER(I30))),"",REPT("▬",MAX(1,ROUND((I30-(MIN(I27:I31)))/MAX(0.000000001,(MAX(I27:I31))-(MIN(I27:I31)))*10,0))))</f>
        <v>▬▬▬▬▬▬</v>
      </c>
      <c r="K30" s="1"/>
      <c r="L30" s="1"/>
      <c r="M30" s="1"/>
      <c r="N30" s="1"/>
    </row>
    <row r="31" spans="1:14" x14ac:dyDescent="0.45">
      <c r="A31" s="1"/>
      <c r="B31" s="1"/>
      <c r="C31" s="1"/>
      <c r="D31" s="1"/>
      <c r="E31" s="1"/>
      <c r="F31" s="1"/>
      <c r="G31" s="1"/>
      <c r="H31" s="14" t="s">
        <v>45</v>
      </c>
      <c r="I31" s="12">
        <f>$Z$44/(1-0.5)</f>
        <v>54240</v>
      </c>
      <c r="J31" s="15" t="str">
        <f>IF(OR(I31="",NOT(ISNUMBER(I31))),"",REPT("▬",MAX(1,ROUND((I31-(MIN(I27:I31)))/MAX(0.000000001,(MAX(I27:I31))-(MIN(I27:I31)))*10,0))))</f>
        <v>▬▬▬▬▬▬▬▬▬▬</v>
      </c>
      <c r="K31" s="1"/>
      <c r="L31" s="1"/>
      <c r="M31" s="1"/>
      <c r="N31" s="1"/>
    </row>
    <row r="32" spans="1:14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26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26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26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26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26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26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26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6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Z40">
        <f>ENTRADAS!B11</f>
        <v>225</v>
      </c>
    </row>
    <row r="41" spans="1:26" x14ac:dyDescent="0.45">
      <c r="Z41">
        <f>IFERROR(ENTRADAS!B6/ENTRADAS!B12,0)</f>
        <v>61.403508771929822</v>
      </c>
    </row>
    <row r="42" spans="1:26" x14ac:dyDescent="0.45">
      <c r="Z42">
        <f>Z41*ENTRADAS!B9</f>
        <v>9149.1228070175439</v>
      </c>
    </row>
    <row r="43" spans="1:26" x14ac:dyDescent="0.45">
      <c r="Z43">
        <f>ENTRADAS!B13</f>
        <v>0.7651006711409396</v>
      </c>
    </row>
    <row r="44" spans="1:26" x14ac:dyDescent="0.45">
      <c r="Z44">
        <f>(ENTRADAS!B7*ENTRADAS!B11)+ENTRADAS!E7</f>
        <v>27120</v>
      </c>
    </row>
  </sheetData>
  <mergeCells count="19">
    <mergeCell ref="A1:L1"/>
    <mergeCell ref="D5:E5"/>
    <mergeCell ref="H5:I5"/>
    <mergeCell ref="A2:L2"/>
    <mergeCell ref="H6:I6"/>
    <mergeCell ref="J6:K6"/>
    <mergeCell ref="F5:G5"/>
    <mergeCell ref="D7:E7"/>
    <mergeCell ref="H7:I7"/>
    <mergeCell ref="J7:K7"/>
    <mergeCell ref="B6:C6"/>
    <mergeCell ref="B5:C5"/>
    <mergeCell ref="B7:C7"/>
    <mergeCell ref="J5:K5"/>
    <mergeCell ref="B9:K9"/>
    <mergeCell ref="F6:G6"/>
    <mergeCell ref="A3:L3"/>
    <mergeCell ref="F7:G7"/>
    <mergeCell ref="D6:E6"/>
  </mergeCells>
  <conditionalFormatting sqref="C27:C29">
    <cfRule type="dataBar" priority="3">
      <dataBar>
        <cfvo type="min"/>
        <cfvo type="max"/>
        <color rgb="FFC99C66"/>
      </dataBar>
    </cfRule>
  </conditionalFormatting>
  <conditionalFormatting sqref="G13:G15">
    <cfRule type="cellIs" dxfId="1" priority="1" operator="greaterThan">
      <formula>0</formula>
    </cfRule>
    <cfRule type="cellIs" dxfId="0" priority="2" operator="lessThan">
      <formula>0</formula>
    </cfRule>
  </conditionalFormatting>
  <printOptions horizontalCentered="1"/>
  <pageMargins left="0.25" right="0.25" top="0.3" bottom="0.3" header="0.1" footer="0.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showGridLines="0" workbookViewId="0"/>
  </sheetViews>
  <sheetFormatPr defaultRowHeight="14.25" x14ac:dyDescent="0.45"/>
  <cols>
    <col min="1" max="1" width="30" customWidth="1"/>
    <col min="2" max="2" width="18" customWidth="1"/>
    <col min="3" max="3" width="6" customWidth="1"/>
    <col min="4" max="4" width="30" customWidth="1"/>
    <col min="5" max="5" width="18" customWidth="1"/>
  </cols>
  <sheetData>
    <row r="1" spans="1:8" ht="14" customHeight="1" x14ac:dyDescent="0.45">
      <c r="A1" s="35" t="s">
        <v>0</v>
      </c>
      <c r="B1" s="29"/>
      <c r="C1" s="29"/>
      <c r="D1" s="29"/>
      <c r="E1" s="29"/>
      <c r="F1" s="1"/>
      <c r="G1" s="1"/>
      <c r="H1" s="1"/>
    </row>
    <row r="2" spans="1:8" ht="28.05" customHeight="1" x14ac:dyDescent="0.45">
      <c r="A2" s="31" t="s">
        <v>46</v>
      </c>
      <c r="B2" s="29"/>
      <c r="C2" s="29"/>
      <c r="D2" s="29"/>
      <c r="E2" s="29"/>
      <c r="F2" s="1"/>
      <c r="G2" s="1"/>
      <c r="H2" s="1"/>
    </row>
    <row r="3" spans="1:8" ht="14" customHeight="1" x14ac:dyDescent="0.45">
      <c r="A3" s="28" t="s">
        <v>47</v>
      </c>
      <c r="B3" s="29"/>
      <c r="C3" s="29"/>
      <c r="D3" s="29"/>
      <c r="E3" s="29"/>
      <c r="F3" s="1"/>
      <c r="G3" s="1"/>
      <c r="H3" s="1"/>
    </row>
    <row r="4" spans="1:8" x14ac:dyDescent="0.45">
      <c r="A4" s="1"/>
      <c r="B4" s="1"/>
      <c r="C4" s="1"/>
      <c r="D4" s="1"/>
      <c r="E4" s="1"/>
      <c r="F4" s="1"/>
      <c r="G4" s="1"/>
      <c r="H4" s="1"/>
    </row>
    <row r="5" spans="1:8" x14ac:dyDescent="0.45">
      <c r="A5" s="16" t="s">
        <v>48</v>
      </c>
      <c r="B5" s="17">
        <v>20000</v>
      </c>
      <c r="C5" s="1"/>
      <c r="D5" s="16" t="s">
        <v>49</v>
      </c>
      <c r="E5" s="18" t="s">
        <v>50</v>
      </c>
      <c r="F5" s="1"/>
      <c r="G5" s="1"/>
      <c r="H5" s="1"/>
    </row>
    <row r="6" spans="1:8" x14ac:dyDescent="0.45">
      <c r="A6" s="16" t="s">
        <v>51</v>
      </c>
      <c r="B6" s="17">
        <v>7000</v>
      </c>
      <c r="C6" s="1"/>
      <c r="D6" s="16" t="s">
        <v>52</v>
      </c>
      <c r="E6" s="19">
        <v>6</v>
      </c>
      <c r="F6" s="1"/>
      <c r="G6" s="1"/>
      <c r="H6" s="1"/>
    </row>
    <row r="7" spans="1:8" x14ac:dyDescent="0.45">
      <c r="A7" s="16" t="s">
        <v>53</v>
      </c>
      <c r="B7" s="20">
        <v>120</v>
      </c>
      <c r="C7" s="1"/>
      <c r="D7" s="16" t="s">
        <v>54</v>
      </c>
      <c r="E7" s="17">
        <v>120</v>
      </c>
      <c r="F7" s="1"/>
      <c r="G7" s="1"/>
      <c r="H7" s="1"/>
    </row>
    <row r="8" spans="1:8" x14ac:dyDescent="0.45">
      <c r="A8" s="16" t="s">
        <v>55</v>
      </c>
      <c r="B8" s="17">
        <v>35</v>
      </c>
      <c r="C8" s="1"/>
      <c r="D8" s="16" t="s">
        <v>56</v>
      </c>
      <c r="E8" s="17">
        <v>1200</v>
      </c>
      <c r="F8" s="1"/>
      <c r="G8" s="1"/>
      <c r="H8" s="1"/>
    </row>
    <row r="9" spans="1:8" x14ac:dyDescent="0.45">
      <c r="A9" s="16" t="s">
        <v>57</v>
      </c>
      <c r="B9" s="17">
        <v>149</v>
      </c>
      <c r="C9" s="1"/>
      <c r="D9" s="1"/>
      <c r="E9" s="1"/>
      <c r="F9" s="1"/>
      <c r="G9" s="1"/>
      <c r="H9" s="1"/>
    </row>
    <row r="10" spans="1:8" x14ac:dyDescent="0.45">
      <c r="A10" s="1"/>
      <c r="B10" s="1"/>
      <c r="C10" s="1"/>
      <c r="D10" s="1"/>
      <c r="E10" s="1"/>
      <c r="F10" s="1"/>
      <c r="G10" s="1"/>
      <c r="H10" s="1"/>
    </row>
    <row r="11" spans="1:8" x14ac:dyDescent="0.45">
      <c r="A11" s="1"/>
      <c r="B11" s="1">
        <f>(B5+B6)/B7</f>
        <v>225</v>
      </c>
      <c r="C11" s="1"/>
      <c r="D11" s="1"/>
      <c r="E11" s="1"/>
      <c r="F11" s="1"/>
      <c r="G11" s="1"/>
      <c r="H11" s="1"/>
    </row>
    <row r="12" spans="1:8" x14ac:dyDescent="0.45">
      <c r="A12" s="1"/>
      <c r="B12" s="1">
        <f>B9-B8</f>
        <v>114</v>
      </c>
      <c r="C12" s="1"/>
      <c r="D12" s="1"/>
      <c r="E12" s="1"/>
      <c r="F12" s="1"/>
      <c r="G12" s="1"/>
      <c r="H12" s="1"/>
    </row>
    <row r="13" spans="1:8" x14ac:dyDescent="0.45">
      <c r="A13" s="1"/>
      <c r="B13" s="1">
        <f>IFERROR(B12/B9,0)</f>
        <v>0.7651006711409396</v>
      </c>
      <c r="C13" s="1"/>
      <c r="D13" s="1"/>
      <c r="E13" s="1"/>
      <c r="F13" s="1"/>
      <c r="G13" s="1"/>
      <c r="H13" s="1"/>
    </row>
    <row r="14" spans="1:8" x14ac:dyDescent="0.45">
      <c r="A14" s="1"/>
      <c r="B14" s="1"/>
      <c r="C14" s="1"/>
      <c r="D14" s="1"/>
      <c r="E14" s="1"/>
      <c r="F14" s="1"/>
      <c r="G14" s="1"/>
      <c r="H14" s="1"/>
    </row>
    <row r="15" spans="1:8" x14ac:dyDescent="0.45">
      <c r="A15" s="1"/>
      <c r="B15" s="1"/>
      <c r="C15" s="1"/>
      <c r="D15" s="1"/>
      <c r="E15" s="1"/>
      <c r="F15" s="1"/>
      <c r="G15" s="1"/>
      <c r="H15" s="1"/>
    </row>
    <row r="16" spans="1:8" x14ac:dyDescent="0.45">
      <c r="A16" s="1"/>
      <c r="B16" s="1"/>
      <c r="C16" s="1"/>
      <c r="D16" s="1"/>
      <c r="E16" s="1"/>
      <c r="F16" s="1"/>
      <c r="G16" s="1"/>
      <c r="H16" s="1"/>
    </row>
    <row r="17" spans="1:8" x14ac:dyDescent="0.45">
      <c r="A17" s="1"/>
      <c r="B17" s="1"/>
      <c r="C17" s="1"/>
      <c r="D17" s="1"/>
      <c r="E17" s="1"/>
      <c r="F17" s="1"/>
      <c r="G17" s="1"/>
      <c r="H17" s="1"/>
    </row>
    <row r="18" spans="1:8" x14ac:dyDescent="0.45">
      <c r="A18" s="1"/>
      <c r="B18" s="1"/>
      <c r="C18" s="1"/>
      <c r="D18" s="1"/>
      <c r="E18" s="1"/>
      <c r="F18" s="1"/>
      <c r="G18" s="1"/>
      <c r="H18" s="1"/>
    </row>
    <row r="19" spans="1:8" x14ac:dyDescent="0.45">
      <c r="A19" s="1"/>
      <c r="B19" s="1"/>
      <c r="C19" s="1"/>
      <c r="D19" s="1"/>
      <c r="E19" s="1"/>
      <c r="F19" s="1"/>
      <c r="G19" s="1"/>
      <c r="H19" s="1"/>
    </row>
    <row r="20" spans="1:8" x14ac:dyDescent="0.45">
      <c r="A20" s="1"/>
      <c r="B20" s="1"/>
      <c r="C20" s="1"/>
      <c r="D20" s="1"/>
      <c r="E20" s="1"/>
      <c r="F20" s="1"/>
      <c r="G20" s="1"/>
      <c r="H20" s="1"/>
    </row>
    <row r="21" spans="1:8" x14ac:dyDescent="0.45">
      <c r="A21" s="1"/>
      <c r="B21" s="1"/>
      <c r="C21" s="1"/>
      <c r="D21" s="1"/>
      <c r="E21" s="1"/>
      <c r="F21" s="1"/>
      <c r="G21" s="1"/>
      <c r="H21" s="1"/>
    </row>
    <row r="22" spans="1:8" x14ac:dyDescent="0.45">
      <c r="A22" s="1"/>
      <c r="B22" s="1"/>
      <c r="C22" s="1"/>
      <c r="D22" s="1"/>
      <c r="E22" s="1"/>
      <c r="F22" s="1"/>
      <c r="G22" s="1"/>
      <c r="H22" s="1"/>
    </row>
    <row r="23" spans="1:8" x14ac:dyDescent="0.45">
      <c r="A23" s="1"/>
      <c r="B23" s="1"/>
      <c r="C23" s="1"/>
      <c r="D23" s="1"/>
      <c r="E23" s="1"/>
      <c r="F23" s="1"/>
      <c r="G23" s="1"/>
      <c r="H23" s="1"/>
    </row>
    <row r="24" spans="1:8" x14ac:dyDescent="0.45">
      <c r="A24" s="1"/>
      <c r="B24" s="1"/>
      <c r="C24" s="1"/>
      <c r="D24" s="1"/>
      <c r="E24" s="1"/>
      <c r="F24" s="1"/>
      <c r="G24" s="1"/>
      <c r="H24" s="1"/>
    </row>
    <row r="25" spans="1:8" x14ac:dyDescent="0.45">
      <c r="A25" s="1"/>
      <c r="B25" s="1"/>
      <c r="C25" s="1"/>
      <c r="D25" s="1"/>
      <c r="E25" s="1"/>
      <c r="F25" s="1"/>
      <c r="G25" s="1"/>
      <c r="H25" s="1"/>
    </row>
    <row r="26" spans="1:8" x14ac:dyDescent="0.45">
      <c r="A26" s="1"/>
      <c r="B26" s="1"/>
      <c r="C26" s="1"/>
      <c r="D26" s="1"/>
      <c r="E26" s="1"/>
      <c r="F26" s="1"/>
      <c r="G26" s="1"/>
      <c r="H26" s="1"/>
    </row>
    <row r="27" spans="1:8" x14ac:dyDescent="0.45">
      <c r="A27" s="1"/>
      <c r="B27" s="1"/>
      <c r="C27" s="1"/>
      <c r="D27" s="1"/>
      <c r="E27" s="1"/>
      <c r="F27" s="1"/>
      <c r="G27" s="1"/>
      <c r="H27" s="1"/>
    </row>
    <row r="28" spans="1:8" x14ac:dyDescent="0.45">
      <c r="A28" s="1"/>
      <c r="B28" s="1"/>
      <c r="C28" s="1"/>
      <c r="D28" s="1"/>
      <c r="E28" s="1"/>
      <c r="F28" s="1"/>
      <c r="G28" s="1"/>
      <c r="H28" s="1"/>
    </row>
    <row r="29" spans="1:8" x14ac:dyDescent="0.45">
      <c r="A29" s="1"/>
      <c r="B29" s="1"/>
      <c r="C29" s="1"/>
      <c r="D29" s="1"/>
      <c r="E29" s="1"/>
      <c r="F29" s="1"/>
      <c r="G29" s="1"/>
      <c r="H29" s="1"/>
    </row>
    <row r="30" spans="1:8" x14ac:dyDescent="0.45">
      <c r="A30" s="1"/>
      <c r="B30" s="1"/>
      <c r="C30" s="1"/>
      <c r="D30" s="1"/>
      <c r="E30" s="1"/>
      <c r="F30" s="1"/>
      <c r="G30" s="1"/>
      <c r="H30" s="1"/>
    </row>
    <row r="31" spans="1:8" x14ac:dyDescent="0.45">
      <c r="A31" s="1"/>
      <c r="B31" s="1"/>
      <c r="C31" s="1"/>
      <c r="D31" s="1"/>
      <c r="E31" s="1"/>
      <c r="F31" s="1"/>
      <c r="G31" s="1"/>
      <c r="H31" s="1"/>
    </row>
    <row r="32" spans="1:8" x14ac:dyDescent="0.45">
      <c r="A32" s="1"/>
      <c r="B32" s="1"/>
      <c r="C32" s="1"/>
      <c r="D32" s="1"/>
      <c r="E32" s="1"/>
      <c r="F32" s="1"/>
      <c r="G32" s="1"/>
      <c r="H32" s="1"/>
    </row>
    <row r="33" spans="1:8" x14ac:dyDescent="0.45">
      <c r="A33" s="1"/>
      <c r="B33" s="1"/>
      <c r="C33" s="1"/>
      <c r="D33" s="1"/>
      <c r="E33" s="1"/>
      <c r="F33" s="1"/>
      <c r="G33" s="1"/>
      <c r="H33" s="1"/>
    </row>
    <row r="34" spans="1:8" x14ac:dyDescent="0.45">
      <c r="A34" s="1"/>
      <c r="B34" s="1"/>
      <c r="C34" s="1"/>
      <c r="D34" s="1"/>
      <c r="E34" s="1"/>
      <c r="F34" s="1"/>
      <c r="G34" s="1"/>
      <c r="H34" s="1"/>
    </row>
    <row r="35" spans="1:8" x14ac:dyDescent="0.45">
      <c r="A35" s="1"/>
      <c r="B35" s="1"/>
      <c r="C35" s="1"/>
      <c r="D35" s="1"/>
      <c r="E35" s="1"/>
      <c r="F35" s="1"/>
      <c r="G35" s="1"/>
      <c r="H35" s="1"/>
    </row>
    <row r="36" spans="1:8" x14ac:dyDescent="0.45">
      <c r="A36" s="1"/>
      <c r="B36" s="1"/>
      <c r="C36" s="1"/>
      <c r="D36" s="1"/>
      <c r="E36" s="1"/>
      <c r="F36" s="1"/>
      <c r="G36" s="1"/>
      <c r="H36" s="1"/>
    </row>
    <row r="37" spans="1:8" x14ac:dyDescent="0.45">
      <c r="A37" s="1"/>
      <c r="B37" s="1"/>
      <c r="C37" s="1"/>
      <c r="D37" s="1"/>
      <c r="E37" s="1"/>
      <c r="F37" s="1"/>
      <c r="G37" s="1"/>
      <c r="H37" s="1"/>
    </row>
    <row r="38" spans="1:8" x14ac:dyDescent="0.45">
      <c r="A38" s="1"/>
      <c r="B38" s="1"/>
      <c r="C38" s="1"/>
      <c r="D38" s="1"/>
      <c r="E38" s="1"/>
      <c r="F38" s="1"/>
      <c r="G38" s="1"/>
      <c r="H38" s="1"/>
    </row>
    <row r="39" spans="1:8" x14ac:dyDescent="0.45">
      <c r="A39" s="1"/>
      <c r="B39" s="1"/>
      <c r="C39" s="1"/>
      <c r="D39" s="1"/>
      <c r="E39" s="1"/>
      <c r="F39" s="1"/>
      <c r="G39" s="1"/>
      <c r="H39" s="1"/>
    </row>
    <row r="40" spans="1:8" x14ac:dyDescent="0.45">
      <c r="A40" s="1"/>
      <c r="B40" s="1"/>
      <c r="C40" s="1"/>
      <c r="D40" s="1"/>
      <c r="E40" s="1"/>
      <c r="F40" s="1"/>
      <c r="G40" s="1"/>
      <c r="H40" s="1"/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DASHBOARD</vt:lpstr>
      <vt:lpstr>ENTRADAS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RINALDI</cp:lastModifiedBy>
  <dcterms:created xsi:type="dcterms:W3CDTF">2026-07-22T20:17:03Z</dcterms:created>
  <dcterms:modified xsi:type="dcterms:W3CDTF">2026-08-04T00:50:07Z</dcterms:modified>
</cp:coreProperties>
</file>