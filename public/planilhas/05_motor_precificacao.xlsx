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ENTRADAS" sheetId="2" state="visible" r:id="rId4"/>
    <sheet name="PONTO_EQUILIBRIO" sheetId="3" state="visible" r:id="rId5"/>
  </sheets>
  <definedNames>
    <definedName function="false" hidden="false" localSheetId="0" name="_xlnm.Print_Area" vbProcedure="false">DASHBOARD!$A$1:$L$42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<sst xmlns="http://schemas.openxmlformats.org/spreadsheetml/2006/main" count="75" uniqueCount="71">
  <si>
    <t xml:space="preserve">TRUST EXCEL  ·  TRUST CORPORATION</t>
  </si>
  <si>
    <t xml:space="preserve">Motor de Precificação</t>
  </si>
  <si>
    <t xml:space="preserve">Valor/hora · ponto de equilíbrio · cenários · sensibilidade</t>
  </si>
  <si>
    <t xml:space="preserve">VALOR DA HORA</t>
  </si>
  <si>
    <t xml:space="preserve">PONTO EQUILÍBRIO (un.)</t>
  </si>
  <si>
    <t xml:space="preserve">FATURAMENTO MÍNIMO</t>
  </si>
  <si>
    <t xml:space="preserve">MARGEM CONTRIB.</t>
  </si>
  <si>
    <t xml:space="preserve">PREÇO-ALVO CLIENTE</t>
  </si>
  <si>
    <t xml:space="preserve">unidades/mês p/ empatar</t>
  </si>
  <si>
    <t xml:space="preserve">CENÁRIOS DE PROPOSTA (serviço personalizado)</t>
  </si>
  <si>
    <t xml:space="preserve">Cenário</t>
  </si>
  <si>
    <t xml:space="preserve">Margem</t>
  </si>
  <si>
    <t xml:space="preserve">Preço sugerido</t>
  </si>
  <si>
    <t xml:space="preserve">Quando usar</t>
  </si>
  <si>
    <t xml:space="preserve">Mínimo</t>
  </si>
  <si>
    <t xml:space="preserve">Entrar na conta / recorrência</t>
  </si>
  <si>
    <t xml:space="preserve">Ideal</t>
  </si>
  <si>
    <t xml:space="preserve">Padrão saudável</t>
  </si>
  <si>
    <t xml:space="preserve">Premium</t>
  </si>
  <si>
    <t xml:space="preserve">Urgência / especialização</t>
  </si>
  <si>
    <t xml:space="preserve">Cascata do preço ideal</t>
  </si>
  <si>
    <t xml:space="preserve">Spark · preço × margem</t>
  </si>
  <si>
    <t xml:space="preserve">Etapa</t>
  </si>
  <si>
    <t xml:space="preserve">Base</t>
  </si>
  <si>
    <t xml:space="preserve">Alta</t>
  </si>
  <si>
    <t xml:space="preserve">Baixa</t>
  </si>
  <si>
    <t xml:space="preserve">Total</t>
  </si>
  <si>
    <t xml:space="preserve">Δ</t>
  </si>
  <si>
    <t xml:space="preserve">Ponto</t>
  </si>
  <si>
    <t xml:space="preserve">Valor</t>
  </si>
  <si>
    <t xml:space="preserve">Spark</t>
  </si>
  <si>
    <t xml:space="preserve">Custo entrega</t>
  </si>
  <si>
    <t xml:space="preserve">10%</t>
  </si>
  <si>
    <t xml:space="preserve">+ Margem ideal 30%</t>
  </si>
  <si>
    <t xml:space="preserve">20%</t>
  </si>
  <si>
    <t xml:space="preserve">Preço ideal</t>
  </si>
  <si>
    <t xml:space="preserve">30%</t>
  </si>
  <si>
    <t xml:space="preserve">40%</t>
  </si>
  <si>
    <t xml:space="preserve">50%</t>
  </si>
  <si>
    <t xml:space="preserve">MINI-SPARKLINES</t>
  </si>
  <si>
    <t xml:space="preserve">Indicador</t>
  </si>
  <si>
    <t xml:space="preserve">Atual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</si>
  <si>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</si>
  <si>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</si>
  <si>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</si>
  <si>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</si>
  <si>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</si>
  <si>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</si>
  <si>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Valor/hora</t>
  </si>
  <si>
    <t xml:space="preserve">Break-even un.</t>
  </si>
  <si>
    <t xml:space="preserve">Margem %</t>
  </si>
  <si>
    <t xml:space="preserve">Parâmetros do Negócio</t>
  </si>
  <si>
    <t xml:space="preserve">Ajuste os campos amarelos — tudo recalcula</t>
  </si>
  <si>
    <t xml:space="preserve">Renda desejada / mês</t>
  </si>
  <si>
    <t xml:space="preserve">Nome do serviço/produto</t>
  </si>
  <si>
    <t xml:space="preserve">Plano Pro</t>
  </si>
  <si>
    <t xml:space="preserve">Custos fixos / mês</t>
  </si>
  <si>
    <t xml:space="preserve">Horas por entrega</t>
  </si>
  <si>
    <t xml:space="preserve">Horas produtivas / mês</t>
  </si>
  <si>
    <t xml:space="preserve">Custos extras / entrega</t>
  </si>
  <si>
    <t xml:space="preserve">Custo variável / unidade</t>
  </si>
  <si>
    <t xml:space="preserve">Preço-alvo do cliente</t>
  </si>
  <si>
    <t xml:space="preserve">Preço de venda / unidade</t>
  </si>
  <si>
    <t xml:space="preserve">MARGEM DE CONTRIB./UNID.</t>
  </si>
  <si>
    <t xml:space="preserve">% MARGEM DE CONTRIBUIÇÃO</t>
  </si>
  <si>
    <t xml:space="preserve">Ponto de Equilíbrio</t>
  </si>
  <si>
    <t xml:space="preserve">Onde a receita cobre custo fixo + variável</t>
  </si>
  <si>
    <t xml:space="preserve">Unidades</t>
  </si>
  <si>
    <t xml:space="preserve">Receita</t>
  </si>
  <si>
    <t xml:space="preserve">Custo total</t>
  </si>
  <si>
    <t xml:space="preserve">Lucro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</si>
</sst>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&quot;R$ &quot;#,##0.00"/>
    <numFmt numFmtId="166" formatCode="0"/>
    <numFmt numFmtId="167" formatCode="&quot;R$ &quot;#,##0"/>
    <numFmt numFmtId="168" formatCode="0.0%"/>
    <numFmt numFmtId="169" formatCode="0%"/>
    <numFmt numFmtId="170" formatCode="#,##0;\(#,##0\);\—"/>
    <numFmt numFmtId="171" formatCode="#,##0.0;\(#,##0.0\);\—"/>
    <numFmt numFmtId="172" formatCode="@"/>
    <numFmt numFmtId="173" formatCode="0.0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99C66"/>
      <name val="Aptos Narrow"/>
      <family val="0"/>
      <charset val="1"/>
    </font>
    <font>
      <b val="true"/>
      <sz val="20"/>
      <color rgb="FFF3ECDD"/>
      <name val="Aptos Narrow"/>
      <family val="0"/>
      <charset val="1"/>
    </font>
    <font>
      <i val="true"/>
      <sz val="10"/>
      <color rgb="FF8A9691"/>
      <name val="Aptos Narrow"/>
      <family val="0"/>
      <charset val="1"/>
    </font>
    <font>
      <b val="true"/>
      <sz val="8"/>
      <color rgb="FF8A9691"/>
      <name val="Aptos Narrow"/>
      <family val="0"/>
      <charset val="1"/>
    </font>
    <font>
      <b val="true"/>
      <sz val="20"/>
      <color rgb="FFC99C66"/>
      <name val="Aptos Narrow"/>
      <family val="0"/>
      <charset val="1"/>
    </font>
    <font>
      <b val="true"/>
      <sz val="20"/>
      <color rgb="FFE0A94B"/>
      <name val="Aptos Narrow"/>
      <family val="0"/>
      <charset val="1"/>
    </font>
    <font>
      <b val="true"/>
      <sz val="20"/>
      <color rgb="FF43D07F"/>
      <name val="Aptos Narrow"/>
      <family val="0"/>
      <charset val="1"/>
    </font>
    <font>
      <i val="true"/>
      <sz val="7"/>
      <color rgb="FF8A9691"/>
      <name val="Aptos Narrow"/>
      <family val="0"/>
      <charset val="1"/>
    </font>
    <font>
      <b val="true"/>
      <sz val="10"/>
      <color rgb="FFC99C66"/>
      <name val="Aptos Narrow"/>
      <family val="0"/>
      <charset val="1"/>
    </font>
    <font>
      <b val="true"/>
      <sz val="9"/>
      <color rgb="FFF3ECDD"/>
      <name val="Aptos Narrow"/>
      <family val="0"/>
      <charset val="1"/>
    </font>
    <font>
      <sz val="10"/>
      <color rgb="FFF3ECDD"/>
      <name val="Aptos Narrow"/>
      <family val="0"/>
      <charset val="1"/>
    </font>
    <font>
      <sz val="10"/>
      <color rgb="FF8A9691"/>
      <name val="Aptos Narrow"/>
      <family val="0"/>
      <charset val="1"/>
    </font>
    <font>
      <b val="true"/>
      <sz val="11"/>
      <color rgb="FFC99C66"/>
      <name val="Aptos Narrow"/>
      <family val="0"/>
      <charset val="1"/>
    </font>
    <font>
      <sz val="9"/>
      <color rgb="FF8A9691"/>
      <name val="Aptos Narrow"/>
      <family val="0"/>
      <charset val="1"/>
    </font>
    <font>
      <i val="true"/>
      <sz val="10"/>
      <color rgb="FFF3ECDD"/>
      <name val="Aptos Narrow"/>
      <family val="0"/>
      <charset val="1"/>
    </font>
    <font>
      <sz val="9"/>
      <color rgb="FFF3ECDD"/>
      <name val="Aptos Narrow"/>
      <family val="0"/>
      <charset val="1"/>
    </font>
    <font>
      <sz val="8"/>
      <color rgb="FF8A9691"/>
      <name val="Aptos Narrow"/>
      <family val="0"/>
      <charset val="1"/>
    </font>
    <font>
      <sz val="8"/>
      <color rgb="FFC99C66"/>
      <name val="Aptos Narrow"/>
      <family val="0"/>
      <charset val="1"/>
    </font>
    <font>
      <sz val="8"/>
      <color rgb="FF43D07F"/>
      <name val="Aptos Narrow"/>
      <family val="0"/>
      <charset val="1"/>
    </font>
    <font>
      <sz val="7"/>
      <color rgb="FF8A9691"/>
      <name val="Aptos Narrow"/>
      <family val="0"/>
      <charset val="1"/>
    </font>
    <font>
      <sz val="11"/>
      <color rgb="FF43D07F"/>
      <name val="Aptos Narrow"/>
      <family val="0"/>
      <charset val="1"/>
    </font>
    <font>
      <sz val="9"/>
      <color rgb="FF0E1512"/>
      <name val="Aptos Narrow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3ECDD"/>
      <name val="Aptos Narrow"/>
      <family val="0"/>
      <charset val="1"/>
    </font>
    <font>
      <b val="true"/>
      <sz val="12"/>
      <color rgb="FF43D07F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1512"/>
        <bgColor rgb="FF14211B"/>
      </patternFill>
    </fill>
    <fill>
      <patternFill patternType="solid">
        <fgColor rgb="FF1B2C24"/>
        <bgColor rgb="FF1F3329"/>
      </patternFill>
    </fill>
    <fill>
      <patternFill patternType="solid">
        <fgColor rgb="FF1F3329"/>
        <bgColor rgb="FF24382E"/>
      </patternFill>
    </fill>
    <fill>
      <patternFill patternType="solid">
        <fgColor rgb="FF14211B"/>
        <bgColor rgb="FF1B2C2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C99C66"/>
      </top>
      <bottom style="thin">
        <color rgb="FF24382E"/>
      </bottom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24382E"/>
      </top>
      <bottom style="thin">
        <color rgb="FF24382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ptos Narrow"/>
        <charset val="1"/>
        <family val="0"/>
        <b val="1"/>
        <color rgb="FF43D07F"/>
        <sz val="9"/>
      </font>
    </dxf>
    <dxf>
      <font>
        <name val="Aptos Narrow"/>
        <charset val="1"/>
        <family val="0"/>
        <b val="1"/>
        <color rgb="FFD9534F"/>
        <sz val="9"/>
      </font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E1512"/>
      <rgbColor rgb="FF808000"/>
      <rgbColor rgb="FF800080"/>
      <rgbColor rgb="FF008080"/>
      <rgbColor rgb="FFC0C0C0"/>
      <rgbColor rgb="FF878787"/>
      <rgbColor rgb="FF9999FF"/>
      <rgbColor rgb="FFBE4B48"/>
      <rgbColor rgb="FFF3ECDD"/>
      <rgbColor rgb="FFCCFFFF"/>
      <rgbColor rgb="FF660066"/>
      <rgbColor rgb="FFC99C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43D07F"/>
      <rgbColor rgb="FF99CC00"/>
      <rgbColor rgb="FFFFCC00"/>
      <rgbColor rgb="FFE0A94B"/>
      <rgbColor rgb="FFD9534F"/>
      <rgbColor rgb="FF4A7EBB"/>
      <rgbColor rgb="FF8A9691"/>
      <rgbColor rgb="FF14211B"/>
      <rgbColor rgb="FF2E9E5B"/>
      <rgbColor rgb="FF1B2C24"/>
      <rgbColor rgb="FF1F3329"/>
      <rgbColor rgb="FF993300"/>
      <rgbColor rgb="FF993366"/>
      <rgbColor rgb="FF333399"/>
      <rgbColor rgb="FF2438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Preço por cenário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DASHBOARD!D10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DASHBOARD!$B$11:$B$13</c:f>
              <c:strCache>
                <c:ptCount val="3"/>
                <c:pt idx="0">
                  <c:v>Mínimo</c:v>
                </c:pt>
                <c:pt idx="1">
                  <c:v>Ideal</c:v>
                </c:pt>
                <c:pt idx="2">
                  <c:v>Premium</c:v>
                </c:pt>
              </c:strCache>
            </c:strRef>
          </c:cat>
          <c:val>
            <c:numRef>
              <c:f>DASHBOARD!$D$11:$D$13</c:f>
              <c:numCache>
                <c:formatCode>"R$ "#,##0</c:formatCode>
                <c:ptCount val="3"/>
                <c:pt idx="0">
                  <c:v>31905.8823529412</c:v>
                </c:pt>
                <c:pt idx="1">
                  <c:v>38742.8571428571</c:v>
                </c:pt>
                <c:pt idx="2">
                  <c:v>54240</c:v>
                </c:pt>
              </c:numCache>
            </c:numRef>
          </c:val>
        </c:ser>
        <c:gapWidth val="150"/>
        <c:overlap val="0"/>
        <c:axId val="9352471"/>
        <c:axId val="52296253"/>
      </c:barChart>
      <c:catAx>
        <c:axId val="9352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296253"/>
        <c:crosses val="autoZero"/>
        <c:auto val="1"/>
        <c:lblAlgn val="ctr"/>
        <c:lblOffset val="100"/>
        <c:noMultiLvlLbl val="0"/>
      </c:catAx>
      <c:valAx>
        <c:axId val="522962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524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Cascata · custo → preço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DASHBOARD!C19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DASHBOARD!$B$20:$B$22</c:f>
              <c:strCache>
                <c:ptCount val="3"/>
                <c:pt idx="0">
                  <c:v>Custo entrega</c:v>
                </c:pt>
                <c:pt idx="1">
                  <c:v>+ Margem ideal 30%</c:v>
                </c:pt>
                <c:pt idx="2">
                  <c:v>Preço ideal</c:v>
                </c:pt>
              </c:strCache>
            </c:strRef>
          </c:cat>
          <c:val>
            <c:numRef>
              <c:f>DASHBOARD!$C$20:$C$22</c:f>
              <c:numCache>
                <c:formatCode>#,##0;\(#,##0\);\—</c:formatCode>
                <c:ptCount val="3"/>
                <c:pt idx="0">
                  <c:v>0</c:v>
                </c:pt>
                <c:pt idx="1">
                  <c:v>27120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DASHBOARD!D19</c:f>
              <c:strCache>
                <c:ptCount val="1"/>
                <c:pt idx="0">
                  <c:v>Alta</c:v>
                </c:pt>
              </c:strCache>
            </c:strRef>
          </c:tx>
          <c:spPr>
            <a:solidFill>
              <a:srgbClr val="2e9e5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DASHBOARD!$B$20:$B$22</c:f>
              <c:strCache>
                <c:ptCount val="3"/>
                <c:pt idx="0">
                  <c:v>Custo entrega</c:v>
                </c:pt>
                <c:pt idx="1">
                  <c:v>+ Margem ideal 30%</c:v>
                </c:pt>
                <c:pt idx="2">
                  <c:v>Preço ideal</c:v>
                </c:pt>
              </c:strCache>
            </c:strRef>
          </c:cat>
          <c:val>
            <c:numRef>
              <c:f>DASHBOARD!$D$20:$D$22</c:f>
              <c:numCache>
                <c:formatCode>#,##0;\(#,##0\);\—</c:formatCode>
                <c:ptCount val="3"/>
                <c:pt idx="0">
                  <c:v>27120</c:v>
                </c:pt>
                <c:pt idx="1">
                  <c:v>11622.8571428571</c:v>
                </c:pt>
                <c:pt idx="2">
                  <c:v>38742.8571428571</c:v>
                </c:pt>
              </c:numCache>
            </c:numRef>
          </c:val>
        </c:ser>
        <c:ser>
          <c:idx val="2"/>
          <c:order val="2"/>
          <c:tx>
            <c:strRef>
              <c:f>DASHBOARD!E19</c:f>
              <c:strCache>
                <c:ptCount val="1"/>
                <c:pt idx="0">
                  <c:v>Baixa</c:v>
                </c:pt>
              </c:strCache>
            </c:strRef>
          </c:tx>
          <c:spPr>
            <a:solidFill>
              <a:srgbClr val="d953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DASHBOARD!$B$20:$B$22</c:f>
              <c:strCache>
                <c:ptCount val="3"/>
                <c:pt idx="0">
                  <c:v>Custo entrega</c:v>
                </c:pt>
                <c:pt idx="1">
                  <c:v>+ Margem ideal 30%</c:v>
                </c:pt>
                <c:pt idx="2">
                  <c:v>Preço ideal</c:v>
                </c:pt>
              </c:strCache>
            </c:strRef>
          </c:cat>
          <c:val>
            <c:numRef>
              <c:f>DASHBOARD!$E$20:$E$22</c:f>
              <c:numCache>
                <c:formatCode>#,##0;\(#,##0\);\—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19105194"/>
        <c:axId val="49028889"/>
      </c:barChart>
      <c:catAx>
        <c:axId val="191051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028889"/>
        <c:crosses val="autoZero"/>
        <c:auto val="1"/>
        <c:lblAlgn val="ctr"/>
        <c:lblOffset val="100"/>
        <c:noMultiLvlLbl val="0"/>
      </c:catAx>
      <c:valAx>
        <c:axId val="490288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1051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DASHBOARD!O19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c99c66"/>
            </a:solidFill>
            <a:ln w="15120">
              <a:solidFill>
                <a:srgbClr val="c99c6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5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DASHBOARD!$N$20:$N$24</c:f>
              <c:strCache>
                <c:ptCount val="5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</c:strCache>
            </c:strRef>
          </c:cat>
          <c:val>
            <c:numRef>
              <c:f>DASHBOARD!$O$20:$O$24</c:f>
              <c:numCache>
                <c:formatCode>#,##0.0;\(#,##0.0\);\—</c:formatCode>
                <c:ptCount val="5"/>
                <c:pt idx="0">
                  <c:v>30133.3333333333</c:v>
                </c:pt>
                <c:pt idx="1">
                  <c:v>33900</c:v>
                </c:pt>
                <c:pt idx="2">
                  <c:v>38742.8571428571</c:v>
                </c:pt>
                <c:pt idx="3">
                  <c:v>45200</c:v>
                </c:pt>
                <c:pt idx="4">
                  <c:v>54240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97031"/>
        <c:axId val="53473982"/>
      </c:lineChart>
      <c:catAx>
        <c:axId val="2997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473982"/>
        <c:crosses val="autoZero"/>
        <c:auto val="1"/>
        <c:lblAlgn val="ctr"/>
        <c:lblOffset val="100"/>
        <c:noMultiLvlLbl val="0"/>
      </c:catAx>
      <c:valAx>
        <c:axId val="53473982"/>
        <c:scaling>
          <c:orientation val="minMax"/>
        </c:scaling>
        <c:delete val="0"/>
        <c:axPos val="l"/>
        <c:numFmt formatCode="#,##0.0;\(#,##0.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970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Receita x Custo (ponto de equilíbrio)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PONTO_EQUILIBRIO!B5</c:f>
              <c:strCache>
                <c:ptCount val="1"/>
                <c:pt idx="0">
                  <c:v>Receita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PONTO_EQUILIBRIO!$A$6:$A$18</c:f>
              <c:strCache>
                <c:ptCount val="13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</c:strCache>
            </c:strRef>
          </c:cat>
          <c:val>
            <c:numRef>
              <c:f>PONTO_EQUILIBRIO!$B$6:$B$18</c:f>
              <c:numCache>
                <c:formatCode>"R$ "#,##0</c:formatCode>
                <c:ptCount val="13"/>
                <c:pt idx="0">
                  <c:v>0</c:v>
                </c:pt>
                <c:pt idx="1">
                  <c:v>2980</c:v>
                </c:pt>
                <c:pt idx="2">
                  <c:v>5960</c:v>
                </c:pt>
                <c:pt idx="3">
                  <c:v>8940</c:v>
                </c:pt>
                <c:pt idx="4">
                  <c:v>11920</c:v>
                </c:pt>
                <c:pt idx="5">
                  <c:v>14900</c:v>
                </c:pt>
                <c:pt idx="6">
                  <c:v>17880</c:v>
                </c:pt>
                <c:pt idx="7">
                  <c:v>20860</c:v>
                </c:pt>
                <c:pt idx="8">
                  <c:v>23840</c:v>
                </c:pt>
                <c:pt idx="9">
                  <c:v>26820</c:v>
                </c:pt>
                <c:pt idx="10">
                  <c:v>29800</c:v>
                </c:pt>
                <c:pt idx="11">
                  <c:v>32780</c:v>
                </c:pt>
                <c:pt idx="12">
                  <c:v>35760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PONTO_EQUILIBRIO!C5</c:f>
              <c:strCache>
                <c:ptCount val="1"/>
                <c:pt idx="0">
                  <c:v>Custo total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PONTO_EQUILIBRIO!$A$6:$A$18</c:f>
              <c:strCache>
                <c:ptCount val="13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</c:strCache>
            </c:strRef>
          </c:cat>
          <c:val>
            <c:numRef>
              <c:f>PONTO_EQUILIBRIO!$C$6:$C$18</c:f>
              <c:numCache>
                <c:formatCode>"R$ "#,##0</c:formatCode>
                <c:ptCount val="13"/>
                <c:pt idx="0">
                  <c:v>7000</c:v>
                </c:pt>
                <c:pt idx="1">
                  <c:v>7700</c:v>
                </c:pt>
                <c:pt idx="2">
                  <c:v>8400</c:v>
                </c:pt>
                <c:pt idx="3">
                  <c:v>9100</c:v>
                </c:pt>
                <c:pt idx="4">
                  <c:v>9800</c:v>
                </c:pt>
                <c:pt idx="5">
                  <c:v>10500</c:v>
                </c:pt>
                <c:pt idx="6">
                  <c:v>11200</c:v>
                </c:pt>
                <c:pt idx="7">
                  <c:v>11900</c:v>
                </c:pt>
                <c:pt idx="8">
                  <c:v>12600</c:v>
                </c:pt>
                <c:pt idx="9">
                  <c:v>13300</c:v>
                </c:pt>
                <c:pt idx="10">
                  <c:v>14000</c:v>
                </c:pt>
                <c:pt idx="11">
                  <c:v>14700</c:v>
                </c:pt>
                <c:pt idx="12">
                  <c:v>15400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13079"/>
        <c:axId val="13763858"/>
      </c:lineChart>
      <c:catAx>
        <c:axId val="7113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763858"/>
        <c:crosses val="autoZero"/>
        <c:auto val="1"/>
        <c:lblAlgn val="ctr"/>
        <c:lblOffset val="100"/>
        <c:noMultiLvlLbl val="0"/>
      </c:catAx>
      <c:valAx>
        <c:axId val="137638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130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8</xdr:row>
      <xdr:rowOff>0</xdr:rowOff>
    </xdr:from>
    <xdr:to>
      <xdr:col>8</xdr:col>
      <xdr:colOff>1114920</xdr:colOff>
      <xdr:row>20</xdr:row>
      <xdr:rowOff>89640</xdr:rowOff>
    </xdr:to>
    <xdr:graphicFrame>
      <xdr:nvGraphicFramePr>
        <xdr:cNvPr id="0" name="Chart 1"/>
        <xdr:cNvGraphicFramePr/>
      </xdr:nvGraphicFramePr>
      <xdr:xfrm>
        <a:off x="7307640" y="1895400"/>
        <a:ext cx="39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9</xdr:col>
      <xdr:colOff>1114920</xdr:colOff>
      <xdr:row>28</xdr:row>
      <xdr:rowOff>110880</xdr:rowOff>
    </xdr:to>
    <xdr:graphicFrame>
      <xdr:nvGraphicFramePr>
        <xdr:cNvPr id="1" name="Chart 2"/>
        <xdr:cNvGraphicFramePr/>
      </xdr:nvGraphicFramePr>
      <xdr:xfrm>
        <a:off x="8730000" y="3800520"/>
        <a:ext cx="39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27</xdr:row>
      <xdr:rowOff>0</xdr:rowOff>
    </xdr:from>
    <xdr:to>
      <xdr:col>9</xdr:col>
      <xdr:colOff>754920</xdr:colOff>
      <xdr:row>33</xdr:row>
      <xdr:rowOff>163440</xdr:rowOff>
    </xdr:to>
    <xdr:graphicFrame>
      <xdr:nvGraphicFramePr>
        <xdr:cNvPr id="2" name="Chart 3"/>
        <xdr:cNvGraphicFramePr/>
      </xdr:nvGraphicFramePr>
      <xdr:xfrm>
        <a:off x="8730000" y="5838840"/>
        <a:ext cx="3599640" cy="14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12</xdr:col>
      <xdr:colOff>448200</xdr:colOff>
      <xdr:row>18</xdr:row>
      <xdr:rowOff>79200</xdr:rowOff>
    </xdr:to>
    <xdr:graphicFrame>
      <xdr:nvGraphicFramePr>
        <xdr:cNvPr id="3" name="Chart 1"/>
        <xdr:cNvGraphicFramePr/>
      </xdr:nvGraphicFramePr>
      <xdr:xfrm>
        <a:off x="6093000" y="1000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.2"/>
    <col collapsed="false" customWidth="true" hidden="false" outlineLevel="0" max="11" min="2" style="0" width="16"/>
    <col collapsed="false" customWidth="true" hidden="false" outlineLevel="0" max="12" min="12" style="0" width="3"/>
    <col collapsed="false" customWidth="true" hidden="true" outlineLevel="0" max="26" min="26" style="0" width="13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13.5" hidden="false" customHeight="true" outlineLevel="0" collapsed="false">
      <c r="A5" s="4"/>
      <c r="B5" s="5" t="s">
        <v>3</v>
      </c>
      <c r="C5" s="5"/>
      <c r="D5" s="5" t="s">
        <v>4</v>
      </c>
      <c r="E5" s="5"/>
      <c r="F5" s="5" t="s">
        <v>5</v>
      </c>
      <c r="G5" s="5"/>
      <c r="H5" s="5" t="s">
        <v>6</v>
      </c>
      <c r="I5" s="5"/>
      <c r="J5" s="5" t="s">
        <v>7</v>
      </c>
      <c r="K5" s="5"/>
      <c r="L5" s="4"/>
    </row>
    <row r="6" customFormat="false" ht="30" hidden="false" customHeight="true" outlineLevel="0" collapsed="false">
      <c r="A6" s="4"/>
      <c r="B6" s="6" t="n">
        <f aca="false">Z40</f>
        <v>225</v>
      </c>
      <c r="C6" s="6"/>
      <c r="D6" s="7" t="n">
        <f aca="false">Z41</f>
        <v>61.4035087719298</v>
      </c>
      <c r="E6" s="7"/>
      <c r="F6" s="8" t="n">
        <f aca="false">Z42</f>
        <v>9149.12280701754</v>
      </c>
      <c r="G6" s="8"/>
      <c r="H6" s="9" t="n">
        <f aca="false">Z43</f>
        <v>0.76510067114094</v>
      </c>
      <c r="I6" s="9"/>
      <c r="J6" s="10" t="n">
        <f aca="false">ENTRADAS!E8</f>
        <v>1200</v>
      </c>
      <c r="K6" s="10"/>
      <c r="L6" s="4"/>
    </row>
    <row r="7" customFormat="false" ht="12" hidden="false" customHeight="true" outlineLevel="0" collapsed="false">
      <c r="A7" s="4"/>
      <c r="B7" s="11"/>
      <c r="C7" s="11"/>
      <c r="D7" s="11" t="s">
        <v>8</v>
      </c>
      <c r="E7" s="11"/>
      <c r="F7" s="11"/>
      <c r="G7" s="11"/>
      <c r="H7" s="11"/>
      <c r="I7" s="11"/>
      <c r="J7" s="11"/>
      <c r="K7" s="11"/>
      <c r="L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customFormat="false" ht="15" hidden="false" customHeight="false" outlineLevel="0" collapsed="false">
      <c r="A9" s="4"/>
      <c r="B9" s="12" t="s">
        <v>9</v>
      </c>
      <c r="C9" s="4"/>
      <c r="D9" s="4"/>
      <c r="E9" s="4"/>
      <c r="F9" s="4"/>
      <c r="G9" s="4"/>
      <c r="H9" s="4"/>
      <c r="I9" s="4"/>
      <c r="J9" s="4"/>
      <c r="K9" s="4"/>
      <c r="L9" s="4"/>
    </row>
    <row r="10" customFormat="false" ht="25.5" hidden="false" customHeight="true" outlineLevel="0" collapsed="false">
      <c r="A10" s="4"/>
      <c r="B10" s="13" t="s">
        <v>10</v>
      </c>
      <c r="C10" s="13" t="s">
        <v>11</v>
      </c>
      <c r="D10" s="13" t="s">
        <v>12</v>
      </c>
      <c r="E10" s="13" t="s">
        <v>13</v>
      </c>
      <c r="F10" s="4"/>
      <c r="G10" s="4"/>
      <c r="H10" s="4"/>
      <c r="I10" s="4"/>
      <c r="J10" s="4"/>
      <c r="K10" s="4"/>
      <c r="L10" s="4"/>
    </row>
    <row r="11" customFormat="false" ht="15" hidden="false" customHeight="false" outlineLevel="0" collapsed="false">
      <c r="A11" s="4"/>
      <c r="B11" s="14" t="s">
        <v>14</v>
      </c>
      <c r="C11" s="15" t="n">
        <v>0.15</v>
      </c>
      <c r="D11" s="16" t="n">
        <f aca="false">$Z$44/(1-C11)</f>
        <v>31905.8823529412</v>
      </c>
      <c r="E11" s="17" t="s">
        <v>15</v>
      </c>
      <c r="F11" s="4"/>
      <c r="G11" s="4"/>
      <c r="H11" s="4"/>
      <c r="I11" s="4"/>
      <c r="J11" s="4"/>
      <c r="K11" s="4"/>
      <c r="L11" s="4"/>
    </row>
    <row r="12" customFormat="false" ht="15" hidden="false" customHeight="false" outlineLevel="0" collapsed="false">
      <c r="A12" s="4"/>
      <c r="B12" s="14" t="s">
        <v>16</v>
      </c>
      <c r="C12" s="15" t="n">
        <v>0.3</v>
      </c>
      <c r="D12" s="16" t="n">
        <f aca="false">$Z$44/(1-C12)</f>
        <v>38742.8571428571</v>
      </c>
      <c r="E12" s="17" t="s">
        <v>17</v>
      </c>
      <c r="F12" s="4"/>
      <c r="G12" s="4"/>
      <c r="H12" s="4"/>
      <c r="I12" s="4"/>
      <c r="J12" s="4"/>
      <c r="K12" s="4"/>
      <c r="L12" s="4"/>
    </row>
    <row r="13" customFormat="false" ht="15" hidden="false" customHeight="false" outlineLevel="0" collapsed="false">
      <c r="A13" s="4"/>
      <c r="B13" s="14" t="s">
        <v>18</v>
      </c>
      <c r="C13" s="15" t="n">
        <v>0.5</v>
      </c>
      <c r="D13" s="16" t="n">
        <f aca="false">$Z$44/(1-C13)</f>
        <v>54240</v>
      </c>
      <c r="E13" s="17" t="s">
        <v>19</v>
      </c>
      <c r="F13" s="4"/>
      <c r="G13" s="4"/>
      <c r="H13" s="4"/>
      <c r="I13" s="4"/>
      <c r="J13" s="4"/>
      <c r="K13" s="4"/>
      <c r="L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customFormat="false" ht="19.5" hidden="false" customHeight="true" outlineLevel="0" collapsed="false">
      <c r="A15" s="4"/>
      <c r="B15" s="18" t="str">
        <f aca="false">CONCATENATE("Para fechar a ",TEXT(ENTRADAS!E8,"R$ #,##0")," com 30% de margem, gaste no máximo ",TEXT(MAX(0,((ENTRADAS!E8*0.7)-ENTRADAS!E7)/ENTRADAS!B11),"0.0")," horas na entrega. Regra Trust: não baixe preço, reduza escopo.")</f>
        <v>Para fechar a R$ 1,200 com 30% de margem, gaste no máximo 3.2 horas na entrega. Regra Trust: não baixe preço, reduza escopo.</v>
      </c>
      <c r="C15" s="18"/>
      <c r="D15" s="18"/>
      <c r="E15" s="18"/>
      <c r="F15" s="18"/>
      <c r="G15" s="18"/>
      <c r="H15" s="18"/>
      <c r="I15" s="18"/>
      <c r="J15" s="18"/>
      <c r="K15" s="18"/>
      <c r="L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4"/>
      <c r="B18" s="12" t="s">
        <v>20</v>
      </c>
      <c r="C18" s="4"/>
      <c r="D18" s="4"/>
      <c r="E18" s="4"/>
      <c r="F18" s="4"/>
      <c r="G18" s="4"/>
      <c r="H18" s="4"/>
      <c r="I18" s="4"/>
      <c r="J18" s="4"/>
      <c r="K18" s="4"/>
      <c r="L18" s="4"/>
      <c r="N18" s="19" t="s">
        <v>21</v>
      </c>
    </row>
    <row r="19" customFormat="false" ht="25.5" hidden="false" customHeight="true" outlineLevel="0" collapsed="false">
      <c r="A19" s="4"/>
      <c r="B19" s="13" t="s">
        <v>22</v>
      </c>
      <c r="C19" s="13" t="s">
        <v>23</v>
      </c>
      <c r="D19" s="13" t="s">
        <v>24</v>
      </c>
      <c r="E19" s="13" t="s">
        <v>25</v>
      </c>
      <c r="F19" s="13" t="s">
        <v>26</v>
      </c>
      <c r="G19" s="13" t="s">
        <v>27</v>
      </c>
      <c r="H19" s="4"/>
      <c r="I19" s="4"/>
      <c r="J19" s="4"/>
      <c r="K19" s="4"/>
      <c r="L19" s="4"/>
      <c r="N19" s="13" t="s">
        <v>28</v>
      </c>
      <c r="O19" s="13" t="s">
        <v>29</v>
      </c>
      <c r="P19" s="20" t="s">
        <v>30</v>
      </c>
    </row>
    <row r="20" customFormat="false" ht="15" hidden="false" customHeight="false" outlineLevel="0" collapsed="false">
      <c r="A20" s="4"/>
      <c r="B20" s="21" t="s">
        <v>31</v>
      </c>
      <c r="C20" s="22" t="n">
        <v>0</v>
      </c>
      <c r="D20" s="22" t="n">
        <f aca="false">IF(G20&gt;=0,G20,0)</f>
        <v>27120</v>
      </c>
      <c r="E20" s="22" t="n">
        <f aca="false">IF(G20&lt;0,-G20,0)</f>
        <v>0</v>
      </c>
      <c r="F20" s="22" t="n">
        <f aca="false">G20</f>
        <v>27120</v>
      </c>
      <c r="G20" s="23" t="n">
        <f aca="false">$Z$44</f>
        <v>27120</v>
      </c>
      <c r="H20" s="4"/>
      <c r="I20" s="4"/>
      <c r="J20" s="4"/>
      <c r="K20" s="4"/>
      <c r="L20" s="4"/>
      <c r="N20" s="24" t="s">
        <v>32</v>
      </c>
      <c r="O20" s="25" t="n">
        <f aca="false">$Z$44/(1-0.1)</f>
        <v>30133.3333333333</v>
      </c>
      <c r="P20" s="26" t="str">
        <f aca="false">IF(OR(O20="",NOT(ISNUMBER(O20))),"",REPT("▬",MAX(1,ROUND((O20-(MIN(O20:O24)))/MAX(0.000000001,(MAX(O20:O24))-(MIN(O20:O24)))*10,0))))</f>
        <v>▬</v>
      </c>
    </row>
    <row r="21" customFormat="false" ht="15" hidden="false" customHeight="false" outlineLevel="0" collapsed="false">
      <c r="A21" s="4"/>
      <c r="B21" s="21" t="s">
        <v>33</v>
      </c>
      <c r="C21" s="22" t="n">
        <f aca="false">IF(G21&gt;=0,F20,F20+G21)</f>
        <v>27120</v>
      </c>
      <c r="D21" s="22" t="n">
        <f aca="false">IF(G21&gt;=0,G21,0)</f>
        <v>11622.8571428571</v>
      </c>
      <c r="E21" s="22" t="n">
        <f aca="false">IF(G21&lt;0,-G21,0)</f>
        <v>0</v>
      </c>
      <c r="F21" s="22" t="n">
        <f aca="false">F20+G21</f>
        <v>38742.8571428571</v>
      </c>
      <c r="G21" s="23" t="n">
        <f aca="false">$D$12-$Z$44</f>
        <v>11622.8571428571</v>
      </c>
      <c r="H21" s="4"/>
      <c r="I21" s="4"/>
      <c r="J21" s="4"/>
      <c r="K21" s="4"/>
      <c r="L21" s="4"/>
      <c r="N21" s="24" t="s">
        <v>34</v>
      </c>
      <c r="O21" s="25" t="n">
        <f aca="false">$Z$44/(1-0.2)</f>
        <v>33900</v>
      </c>
      <c r="P21" s="26" t="str">
        <f aca="false">IF(OR(O21="",NOT(ISNUMBER(O21))),"",REPT("▬",MAX(1,ROUND((O21-(MIN(O20:O24)))/MAX(0.000000001,(MAX(O20:O24))-(MIN(O20:O24)))*10,0))))</f>
        <v>▬▬</v>
      </c>
    </row>
    <row r="22" customFormat="false" ht="15" hidden="false" customHeight="false" outlineLevel="0" collapsed="false">
      <c r="A22" s="4"/>
      <c r="B22" s="21" t="s">
        <v>35</v>
      </c>
      <c r="C22" s="22" t="n">
        <v>0</v>
      </c>
      <c r="D22" s="22" t="n">
        <f aca="false">IF(G22&gt;=0,G22,0)</f>
        <v>38742.8571428571</v>
      </c>
      <c r="E22" s="22" t="n">
        <f aca="false">IF(G22&lt;0,-G22,0)</f>
        <v>0</v>
      </c>
      <c r="F22" s="22" t="n">
        <f aca="false">G22</f>
        <v>38742.8571428571</v>
      </c>
      <c r="G22" s="23" t="n">
        <f aca="false">$D$12</f>
        <v>38742.8571428571</v>
      </c>
      <c r="H22" s="4"/>
      <c r="I22" s="4"/>
      <c r="J22" s="4"/>
      <c r="K22" s="4"/>
      <c r="L22" s="4"/>
      <c r="N22" s="24" t="s">
        <v>36</v>
      </c>
      <c r="O22" s="25" t="n">
        <f aca="false">$Z$44/(1-0.3)</f>
        <v>38742.8571428571</v>
      </c>
      <c r="P22" s="26" t="str">
        <f aca="false">IF(OR(O22="",NOT(ISNUMBER(O22))),"",REPT("▬",MAX(1,ROUND((O22-(MIN(O20:O24)))/MAX(0.000000001,(MAX(O20:O24))-(MIN(O20:O24)))*10,0))))</f>
        <v>▬▬▬▬</v>
      </c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N23" s="24" t="s">
        <v>37</v>
      </c>
      <c r="O23" s="25" t="n">
        <f aca="false">$Z$44/(1-0.4)</f>
        <v>45200</v>
      </c>
      <c r="P23" s="26" t="str">
        <f aca="false">IF(OR(O23="",NOT(ISNUMBER(O23))),"",REPT("▬",MAX(1,ROUND((O23-(MIN(O20:O24)))/MAX(0.000000001,(MAX(O20:O24))-(MIN(O20:O24)))*10,0))))</f>
        <v>▬▬▬▬▬▬</v>
      </c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N24" s="24" t="s">
        <v>38</v>
      </c>
      <c r="O24" s="25" t="n">
        <f aca="false">$Z$44/(1-0.5)</f>
        <v>54240</v>
      </c>
      <c r="P24" s="26" t="str">
        <f aca="false">IF(OR(O24="",NOT(ISNUMBER(O24))),"",REPT("▬",MAX(1,ROUND((O24-(MIN(O20:O24)))/MAX(0.000000001,(MAX(O20:O24))-(MIN(O20:O24)))*10,0))))</f>
        <v>▬▬▬▬▬▬▬▬▬▬</v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customFormat="false" ht="15" hidden="false" customHeight="false" outlineLevel="0" collapsed="false">
      <c r="A28" s="4"/>
      <c r="B28" s="12" t="s">
        <v>39</v>
      </c>
      <c r="C28" s="4"/>
      <c r="D28" s="4"/>
      <c r="E28" s="4"/>
      <c r="F28" s="4"/>
      <c r="G28" s="4"/>
      <c r="H28" s="4"/>
      <c r="I28" s="4"/>
      <c r="J28" s="4"/>
      <c r="K28" s="4"/>
      <c r="L28" s="4"/>
    </row>
    <row r="29" customFormat="false" ht="25.5" hidden="false" customHeight="true" outlineLevel="0" collapsed="false">
      <c r="A29" s="4"/>
      <c r="B29" s="13" t="s">
        <v>40</v>
      </c>
      <c r="C29" s="13" t="s">
        <v>41</v>
      </c>
      <c r="D29" s="13" t="s">
        <v>42</v>
      </c>
      <c r="E29" s="13" t="s">
        <v>43</v>
      </c>
      <c r="F29" s="13" t="s">
        <v>44</v>
      </c>
      <c r="G29" s="13" t="s">
        <v>45</v>
      </c>
      <c r="H29" s="13" t="s">
        <v>46</v>
      </c>
      <c r="I29" s="13" t="s">
        <v>47</v>
      </c>
      <c r="J29" s="13" t="s">
        <v>30</v>
      </c>
      <c r="K29" s="4"/>
      <c r="L29" s="4"/>
    </row>
    <row r="30" customFormat="false" ht="15" hidden="false" customHeight="false" outlineLevel="0" collapsed="false">
      <c r="A30" s="4"/>
      <c r="B30" s="21" t="s">
        <v>48</v>
      </c>
      <c r="C30" s="27" t="n">
        <f aca="false">$Z$40</f>
        <v>225</v>
      </c>
      <c r="D30" s="28" t="n">
        <v>180</v>
      </c>
      <c r="E30" s="28" t="n">
        <v>190</v>
      </c>
      <c r="F30" s="28" t="n">
        <v>200</v>
      </c>
      <c r="G30" s="28" t="n">
        <v>210</v>
      </c>
      <c r="H30" s="28" t="n">
        <v>220</v>
      </c>
      <c r="I30" s="28" t="n">
        <f aca="false">$Z$40</f>
        <v>225</v>
      </c>
      <c r="J30" s="29" t="str">
        <f aca="false">IF(D30=""," ",MID("▁▂▃▄▅▆▇█",MAX(1,MIN(8,ROUND((D30-(MIN(D30:I30)))/MAX(0.000000001,(MAX(D30:I30))-(MIN(D30:I30)))*7+1,0))),1))&amp;IF(E30=""," ",MID("▁▂▃▄▅▆▇█",MAX(1,MIN(8,ROUND((E30-(MIN(D30:I30)))/MAX(0.000000001,(MAX(D30:I30))-(MIN(D30:I30)))*7+1,0))),1))&amp;IF(F30=""," ",MID("▁▂▃▄▅▆▇█",MAX(1,MIN(8,ROUND((F30-(MIN(D30:I30)))/MAX(0.000000001,(MAX(D30:I30))-(MIN(D30:I30)))*7+1,0))),1))&amp;IF(G30=""," ",MID("▁▂▃▄▅▆▇█",MAX(1,MIN(8,ROUND((G30-(MIN(D30:I30)))/MAX(0.000000001,(MAX(D30:I30))-(MIN(D30:I30)))*7+1,0))),1))&amp;IF(H30=""," ",MID("▁▂▃▄▅▆▇█",MAX(1,MIN(8,ROUND((H30-(MIN(D30:I30)))/MAX(0.000000001,(MAX(D30:I30))-(MIN(D30:I30)))*7+1,0))),1))&amp;IF(I30=""," ",MID("▁▂▃▄▅▆▇█",MAX(1,MIN(8,ROUND((I30-(MIN(D30:I30)))/MAX(0.000000001,(MAX(D30:I30))-(MIN(D30:I30)))*7+1,0))),1))</f>
        <v>▁▃▄▆▇█</v>
      </c>
      <c r="K30" s="4"/>
      <c r="L30" s="4"/>
    </row>
    <row r="31" customFormat="false" ht="15" hidden="false" customHeight="false" outlineLevel="0" collapsed="false">
      <c r="A31" s="4"/>
      <c r="B31" s="21" t="s">
        <v>49</v>
      </c>
      <c r="C31" s="27" t="n">
        <f aca="false">$Z$41</f>
        <v>61.4035087719298</v>
      </c>
      <c r="D31" s="28" t="n">
        <v>80</v>
      </c>
      <c r="E31" s="28" t="n">
        <v>75</v>
      </c>
      <c r="F31" s="28" t="n">
        <v>70</v>
      </c>
      <c r="G31" s="28" t="n">
        <v>65</v>
      </c>
      <c r="H31" s="28" t="n">
        <v>62</v>
      </c>
      <c r="I31" s="28" t="n">
        <f aca="false">$Z$41</f>
        <v>61.4035087719298</v>
      </c>
      <c r="J31" s="29" t="str">
        <f aca="false">IF(D31=""," ",MID("▁▂▃▄▅▆▇█",MAX(1,MIN(8,ROUND((D31-(MIN(D31:I31)))/MAX(0.000000001,(MAX(D31:I31))-(MIN(D31:I31)))*7+1,0))),1))&amp;IF(E31=""," ",MID("▁▂▃▄▅▆▇█",MAX(1,MIN(8,ROUND((E31-(MIN(D31:I31)))/MAX(0.000000001,(MAX(D31:I31))-(MIN(D31:I31)))*7+1,0))),1))&amp;IF(F31=""," ",MID("▁▂▃▄▅▆▇█",MAX(1,MIN(8,ROUND((F31-(MIN(D31:I31)))/MAX(0.000000001,(MAX(D31:I31))-(MIN(D31:I31)))*7+1,0))),1))&amp;IF(G31=""," ",MID("▁▂▃▄▅▆▇█",MAX(1,MIN(8,ROUND((G31-(MIN(D31:I31)))/MAX(0.000000001,(MAX(D31:I31))-(MIN(D31:I31)))*7+1,0))),1))&amp;IF(H31=""," ",MID("▁▂▃▄▅▆▇█",MAX(1,MIN(8,ROUND((H31-(MIN(D31:I31)))/MAX(0.000000001,(MAX(D31:I31))-(MIN(D31:I31)))*7+1,0))),1))&amp;IF(I31=""," ",MID("▁▂▃▄▅▆▇█",MAX(1,MIN(8,ROUND((I31-(MIN(D31:I31)))/MAX(0.000000001,(MAX(D31:I31))-(MIN(D31:I31)))*7+1,0))),1))</f>
        <v>█▆▄▂▁▁</v>
      </c>
      <c r="K31" s="4"/>
      <c r="L31" s="4"/>
    </row>
    <row r="32" customFormat="false" ht="15" hidden="false" customHeight="false" outlineLevel="0" collapsed="false">
      <c r="A32" s="4"/>
      <c r="B32" s="21" t="s">
        <v>50</v>
      </c>
      <c r="C32" s="27" t="n">
        <f aca="false">$Z$43*100</f>
        <v>76.510067114094</v>
      </c>
      <c r="D32" s="28" t="n">
        <v>60</v>
      </c>
      <c r="E32" s="28" t="n">
        <v>65</v>
      </c>
      <c r="F32" s="28" t="n">
        <v>70</v>
      </c>
      <c r="G32" s="28" t="n">
        <v>72</v>
      </c>
      <c r="H32" s="28" t="n">
        <v>74</v>
      </c>
      <c r="I32" s="28" t="n">
        <f aca="false">$Z$43*100</f>
        <v>76.510067114094</v>
      </c>
      <c r="J32" s="29" t="str">
        <f aca="false">IF(D32=""," ",MID("▁▂▃▄▅▆▇█",MAX(1,MIN(8,ROUND((D32-(MIN(D32:I32)))/MAX(0.000000001,(MAX(D32:I32))-(MIN(D32:I32)))*7+1,0))),1))&amp;IF(E32=""," ",MID("▁▂▃▄▅▆▇█",MAX(1,MIN(8,ROUND((E32-(MIN(D32:I32)))/MAX(0.000000001,(MAX(D32:I32))-(MIN(D32:I32)))*7+1,0))),1))&amp;IF(F32=""," ",MID("▁▂▃▄▅▆▇█",MAX(1,MIN(8,ROUND((F32-(MIN(D32:I32)))/MAX(0.000000001,(MAX(D32:I32))-(MIN(D32:I32)))*7+1,0))),1))&amp;IF(G32=""," ",MID("▁▂▃▄▅▆▇█",MAX(1,MIN(8,ROUND((G32-(MIN(D32:I32)))/MAX(0.000000001,(MAX(D32:I32))-(MIN(D32:I32)))*7+1,0))),1))&amp;IF(H32=""," ",MID("▁▂▃▄▅▆▇█",MAX(1,MIN(8,ROUND((H32-(MIN(D32:I32)))/MAX(0.000000001,(MAX(D32:I32))-(MIN(D32:I32)))*7+1,0))),1))&amp;IF(I32=""," ",MID("▁▂▃▄▅▆▇█",MAX(1,MIN(8,ROUND((I32-(MIN(D32:I32)))/MAX(0.000000001,(MAX(D32:I32))-(MIN(D32:I32)))*7+1,0))),1))</f>
        <v>▁▃▅▆▇█</v>
      </c>
      <c r="K32" s="4"/>
      <c r="L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Z40" s="30" t="n">
        <f aca="false">ENTRADAS!B11</f>
        <v>225</v>
      </c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Z41" s="31" t="n">
        <f aca="false">IFERROR(ENTRADAS!B6/ENTRADAS!B12,0)</f>
        <v>61.4035087719298</v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Z42" s="31" t="n">
        <f aca="false">Z41*ENTRADAS!B9</f>
        <v>9149.12280701754</v>
      </c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Z43" s="32" t="n">
        <f aca="false">ENTRADAS!B13</f>
        <v>0.76510067114094</v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Z44" s="31" t="n">
        <f aca="false">(ENTRADAS!B7*ENTRADAS!B11)+ENTRADAS!E7</f>
        <v>27120</v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</sheetData>
  <mergeCells count="19">
    <mergeCell ref="A1:L1"/>
    <mergeCell ref="A2:L2"/>
    <mergeCell ref="A3:L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15:K15"/>
  </mergeCells>
  <conditionalFormatting sqref="G20:G22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C30:C32">
    <cfRule type="dataBar" priority="4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{7E6521A5-C168-4570-8582-5575E35957A0}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6521A5-C168-4570-8582-5575E35957A0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C30:C32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30"/>
    <col collapsed="false" customWidth="true" hidden="false" outlineLevel="0" max="5" min="5" style="0" width="18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4"/>
      <c r="G1" s="4"/>
      <c r="H1" s="4"/>
    </row>
    <row r="2" customFormat="false" ht="30" hidden="false" customHeight="true" outlineLevel="0" collapsed="false">
      <c r="A2" s="2" t="s">
        <v>51</v>
      </c>
      <c r="B2" s="2"/>
      <c r="C2" s="2"/>
      <c r="D2" s="2"/>
      <c r="E2" s="2"/>
      <c r="F2" s="4"/>
      <c r="G2" s="4"/>
      <c r="H2" s="4"/>
    </row>
    <row r="3" customFormat="false" ht="18" hidden="false" customHeight="true" outlineLevel="0" collapsed="false">
      <c r="A3" s="3" t="s">
        <v>52</v>
      </c>
      <c r="B3" s="3"/>
      <c r="C3" s="3"/>
      <c r="D3" s="3"/>
      <c r="E3" s="3"/>
      <c r="F3" s="4"/>
      <c r="G3" s="4"/>
      <c r="H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33" t="s">
        <v>53</v>
      </c>
      <c r="B5" s="34" t="n">
        <v>20000</v>
      </c>
      <c r="C5" s="4"/>
      <c r="D5" s="33" t="s">
        <v>54</v>
      </c>
      <c r="E5" s="35" t="s">
        <v>55</v>
      </c>
      <c r="F5" s="4"/>
      <c r="G5" s="4"/>
      <c r="H5" s="4"/>
    </row>
    <row r="6" customFormat="false" ht="15" hidden="false" customHeight="false" outlineLevel="0" collapsed="false">
      <c r="A6" s="33" t="s">
        <v>56</v>
      </c>
      <c r="B6" s="34" t="n">
        <v>7000</v>
      </c>
      <c r="C6" s="4"/>
      <c r="D6" s="33" t="s">
        <v>57</v>
      </c>
      <c r="E6" s="36" t="n">
        <v>6</v>
      </c>
      <c r="F6" s="4"/>
      <c r="G6" s="4"/>
      <c r="H6" s="4"/>
    </row>
    <row r="7" customFormat="false" ht="15" hidden="false" customHeight="false" outlineLevel="0" collapsed="false">
      <c r="A7" s="33" t="s">
        <v>58</v>
      </c>
      <c r="B7" s="37" t="n">
        <v>120</v>
      </c>
      <c r="C7" s="4"/>
      <c r="D7" s="33" t="s">
        <v>59</v>
      </c>
      <c r="E7" s="34" t="n">
        <v>120</v>
      </c>
      <c r="F7" s="4"/>
      <c r="G7" s="4"/>
      <c r="H7" s="4"/>
    </row>
    <row r="8" customFormat="false" ht="15" hidden="false" customHeight="false" outlineLevel="0" collapsed="false">
      <c r="A8" s="33" t="s">
        <v>60</v>
      </c>
      <c r="B8" s="34" t="n">
        <v>35</v>
      </c>
      <c r="C8" s="4"/>
      <c r="D8" s="33" t="s">
        <v>61</v>
      </c>
      <c r="E8" s="34" t="n">
        <v>1200</v>
      </c>
      <c r="F8" s="4"/>
      <c r="G8" s="4"/>
      <c r="H8" s="4"/>
    </row>
    <row r="9" customFormat="false" ht="15" hidden="false" customHeight="false" outlineLevel="0" collapsed="false">
      <c r="A9" s="33" t="s">
        <v>62</v>
      </c>
      <c r="B9" s="34" t="n">
        <v>149</v>
      </c>
      <c r="C9" s="4"/>
      <c r="D9" s="4"/>
      <c r="E9" s="4"/>
      <c r="F9" s="4"/>
      <c r="G9" s="4"/>
      <c r="H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15" hidden="false" customHeight="false" outlineLevel="0" collapsed="false">
      <c r="A11" s="38" t="s">
        <v>3</v>
      </c>
      <c r="B11" s="39" t="n">
        <f aca="false">(B5+B6)/B7</f>
        <v>225</v>
      </c>
      <c r="C11" s="4"/>
      <c r="D11" s="4"/>
      <c r="E11" s="4"/>
      <c r="F11" s="4"/>
      <c r="G11" s="4"/>
      <c r="H11" s="4"/>
    </row>
    <row r="12" customFormat="false" ht="15" hidden="false" customHeight="false" outlineLevel="0" collapsed="false">
      <c r="A12" s="38" t="s">
        <v>63</v>
      </c>
      <c r="B12" s="40" t="n">
        <f aca="false">IFERROR(B9-B8,0)</f>
        <v>114</v>
      </c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38" t="s">
        <v>64</v>
      </c>
      <c r="B13" s="41" t="n">
        <f aca="false">IFERROR(B12/B9,0)</f>
        <v>0.76510067114094</v>
      </c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</row>
  </sheetData>
  <mergeCells count="3">
    <mergeCell ref="A1:E1"/>
    <mergeCell ref="A2:E2"/>
    <mergeCell ref="A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6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4"/>
      <c r="F1" s="4"/>
      <c r="G1" s="4"/>
      <c r="H1" s="4"/>
    </row>
    <row r="2" customFormat="false" ht="30" hidden="false" customHeight="true" outlineLevel="0" collapsed="false">
      <c r="A2" s="2" t="s">
        <v>65</v>
      </c>
      <c r="B2" s="2"/>
      <c r="C2" s="2"/>
      <c r="D2" s="2"/>
      <c r="E2" s="4"/>
      <c r="F2" s="4"/>
      <c r="G2" s="4"/>
      <c r="H2" s="4"/>
    </row>
    <row r="3" customFormat="false" ht="18" hidden="false" customHeight="true" outlineLevel="0" collapsed="false">
      <c r="A3" s="3" t="s">
        <v>66</v>
      </c>
      <c r="B3" s="3"/>
      <c r="C3" s="3"/>
      <c r="D3" s="3"/>
      <c r="E3" s="4"/>
      <c r="F3" s="4"/>
      <c r="G3" s="4"/>
      <c r="H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25.5" hidden="false" customHeight="true" outlineLevel="0" collapsed="false">
      <c r="A5" s="13" t="s">
        <v>67</v>
      </c>
      <c r="B5" s="13" t="s">
        <v>68</v>
      </c>
      <c r="C5" s="13" t="s">
        <v>69</v>
      </c>
      <c r="D5" s="13" t="s">
        <v>70</v>
      </c>
      <c r="E5" s="4"/>
      <c r="F5" s="4"/>
      <c r="G5" s="4"/>
      <c r="H5" s="4"/>
    </row>
    <row r="6" customFormat="false" ht="15" hidden="false" customHeight="false" outlineLevel="0" collapsed="false">
      <c r="A6" s="21" t="n">
        <v>0</v>
      </c>
      <c r="B6" s="42" t="n">
        <f aca="false">A6*ENTRADAS!$B$9</f>
        <v>0</v>
      </c>
      <c r="C6" s="42" t="n">
        <f aca="false">ENTRADAS!$B$6+A6*ENTRADAS!$B$8</f>
        <v>7000</v>
      </c>
      <c r="D6" s="42" t="n">
        <f aca="false">B6-C6</f>
        <v>-7000</v>
      </c>
      <c r="E6" s="4"/>
      <c r="F6" s="4"/>
      <c r="G6" s="4"/>
      <c r="H6" s="4"/>
    </row>
    <row r="7" customFormat="false" ht="15" hidden="false" customHeight="false" outlineLevel="0" collapsed="false">
      <c r="A7" s="21" t="n">
        <v>20</v>
      </c>
      <c r="B7" s="42" t="n">
        <f aca="false">A7*ENTRADAS!$B$9</f>
        <v>2980</v>
      </c>
      <c r="C7" s="42" t="n">
        <f aca="false">ENTRADAS!$B$6+A7*ENTRADAS!$B$8</f>
        <v>7700</v>
      </c>
      <c r="D7" s="42" t="n">
        <f aca="false">B7-C7</f>
        <v>-4720</v>
      </c>
      <c r="E7" s="4"/>
      <c r="F7" s="4"/>
      <c r="G7" s="4"/>
      <c r="H7" s="4"/>
    </row>
    <row r="8" customFormat="false" ht="15" hidden="false" customHeight="false" outlineLevel="0" collapsed="false">
      <c r="A8" s="21" t="n">
        <v>40</v>
      </c>
      <c r="B8" s="42" t="n">
        <f aca="false">A8*ENTRADAS!$B$9</f>
        <v>5960</v>
      </c>
      <c r="C8" s="42" t="n">
        <f aca="false">ENTRADAS!$B$6+A8*ENTRADAS!$B$8</f>
        <v>8400</v>
      </c>
      <c r="D8" s="42" t="n">
        <f aca="false">B8-C8</f>
        <v>-2440</v>
      </c>
      <c r="E8" s="4"/>
      <c r="F8" s="4"/>
      <c r="G8" s="4"/>
      <c r="H8" s="4"/>
    </row>
    <row r="9" customFormat="false" ht="15" hidden="false" customHeight="false" outlineLevel="0" collapsed="false">
      <c r="A9" s="21" t="n">
        <v>60</v>
      </c>
      <c r="B9" s="42" t="n">
        <f aca="false">A9*ENTRADAS!$B$9</f>
        <v>8940</v>
      </c>
      <c r="C9" s="42" t="n">
        <f aca="false">ENTRADAS!$B$6+A9*ENTRADAS!$B$8</f>
        <v>9100</v>
      </c>
      <c r="D9" s="42" t="n">
        <f aca="false">B9-C9</f>
        <v>-160</v>
      </c>
      <c r="E9" s="4"/>
      <c r="F9" s="4"/>
      <c r="G9" s="4"/>
      <c r="H9" s="4"/>
    </row>
    <row r="10" customFormat="false" ht="15" hidden="false" customHeight="false" outlineLevel="0" collapsed="false">
      <c r="A10" s="21" t="n">
        <v>80</v>
      </c>
      <c r="B10" s="42" t="n">
        <f aca="false">A10*ENTRADAS!$B$9</f>
        <v>11920</v>
      </c>
      <c r="C10" s="42" t="n">
        <f aca="false">ENTRADAS!$B$6+A10*ENTRADAS!$B$8</f>
        <v>9800</v>
      </c>
      <c r="D10" s="42" t="n">
        <f aca="false">B10-C10</f>
        <v>2120</v>
      </c>
      <c r="E10" s="4"/>
      <c r="F10" s="4"/>
      <c r="G10" s="4"/>
      <c r="H10" s="4"/>
    </row>
    <row r="11" customFormat="false" ht="15" hidden="false" customHeight="false" outlineLevel="0" collapsed="false">
      <c r="A11" s="21" t="n">
        <v>100</v>
      </c>
      <c r="B11" s="42" t="n">
        <f aca="false">A11*ENTRADAS!$B$9</f>
        <v>14900</v>
      </c>
      <c r="C11" s="42" t="n">
        <f aca="false">ENTRADAS!$B$6+A11*ENTRADAS!$B$8</f>
        <v>10500</v>
      </c>
      <c r="D11" s="42" t="n">
        <f aca="false">B11-C11</f>
        <v>4400</v>
      </c>
      <c r="E11" s="4"/>
      <c r="F11" s="4"/>
      <c r="G11" s="4"/>
      <c r="H11" s="4"/>
    </row>
    <row r="12" customFormat="false" ht="15" hidden="false" customHeight="false" outlineLevel="0" collapsed="false">
      <c r="A12" s="21" t="n">
        <v>120</v>
      </c>
      <c r="B12" s="42" t="n">
        <f aca="false">A12*ENTRADAS!$B$9</f>
        <v>17880</v>
      </c>
      <c r="C12" s="42" t="n">
        <f aca="false">ENTRADAS!$B$6+A12*ENTRADAS!$B$8</f>
        <v>11200</v>
      </c>
      <c r="D12" s="42" t="n">
        <f aca="false">B12-C12</f>
        <v>6680</v>
      </c>
      <c r="E12" s="4"/>
      <c r="F12" s="4"/>
      <c r="G12" s="4"/>
      <c r="H12" s="4"/>
    </row>
    <row r="13" customFormat="false" ht="15" hidden="false" customHeight="false" outlineLevel="0" collapsed="false">
      <c r="A13" s="21" t="n">
        <v>140</v>
      </c>
      <c r="B13" s="42" t="n">
        <f aca="false">A13*ENTRADAS!$B$9</f>
        <v>20860</v>
      </c>
      <c r="C13" s="42" t="n">
        <f aca="false">ENTRADAS!$B$6+A13*ENTRADAS!$B$8</f>
        <v>11900</v>
      </c>
      <c r="D13" s="42" t="n">
        <f aca="false">B13-C13</f>
        <v>8960</v>
      </c>
      <c r="E13" s="4"/>
      <c r="F13" s="4"/>
      <c r="G13" s="4"/>
      <c r="H13" s="4"/>
    </row>
    <row r="14" customFormat="false" ht="15" hidden="false" customHeight="false" outlineLevel="0" collapsed="false">
      <c r="A14" s="21" t="n">
        <v>160</v>
      </c>
      <c r="B14" s="42" t="n">
        <f aca="false">A14*ENTRADAS!$B$9</f>
        <v>23840</v>
      </c>
      <c r="C14" s="42" t="n">
        <f aca="false">ENTRADAS!$B$6+A14*ENTRADAS!$B$8</f>
        <v>12600</v>
      </c>
      <c r="D14" s="42" t="n">
        <f aca="false">B14-C14</f>
        <v>11240</v>
      </c>
      <c r="E14" s="4"/>
      <c r="F14" s="4"/>
      <c r="G14" s="4"/>
      <c r="H14" s="4"/>
    </row>
    <row r="15" customFormat="false" ht="15" hidden="false" customHeight="false" outlineLevel="0" collapsed="false">
      <c r="A15" s="21" t="n">
        <v>180</v>
      </c>
      <c r="B15" s="42" t="n">
        <f aca="false">A15*ENTRADAS!$B$9</f>
        <v>26820</v>
      </c>
      <c r="C15" s="42" t="n">
        <f aca="false">ENTRADAS!$B$6+A15*ENTRADAS!$B$8</f>
        <v>13300</v>
      </c>
      <c r="D15" s="42" t="n">
        <f aca="false">B15-C15</f>
        <v>13520</v>
      </c>
      <c r="E15" s="4"/>
      <c r="F15" s="4"/>
      <c r="G15" s="4"/>
      <c r="H15" s="4"/>
    </row>
    <row r="16" customFormat="false" ht="15" hidden="false" customHeight="false" outlineLevel="0" collapsed="false">
      <c r="A16" s="21" t="n">
        <v>200</v>
      </c>
      <c r="B16" s="42" t="n">
        <f aca="false">A16*ENTRADAS!$B$9</f>
        <v>29800</v>
      </c>
      <c r="C16" s="42" t="n">
        <f aca="false">ENTRADAS!$B$6+A16*ENTRADAS!$B$8</f>
        <v>14000</v>
      </c>
      <c r="D16" s="42" t="n">
        <f aca="false">B16-C16</f>
        <v>15800</v>
      </c>
      <c r="E16" s="4"/>
      <c r="F16" s="4"/>
      <c r="G16" s="4"/>
      <c r="H16" s="4"/>
    </row>
    <row r="17" customFormat="false" ht="15" hidden="false" customHeight="false" outlineLevel="0" collapsed="false">
      <c r="A17" s="21" t="n">
        <v>220</v>
      </c>
      <c r="B17" s="42" t="n">
        <f aca="false">A17*ENTRADAS!$B$9</f>
        <v>32780</v>
      </c>
      <c r="C17" s="42" t="n">
        <f aca="false">ENTRADAS!$B$6+A17*ENTRADAS!$B$8</f>
        <v>14700</v>
      </c>
      <c r="D17" s="42" t="n">
        <f aca="false">B17-C17</f>
        <v>18080</v>
      </c>
      <c r="E17" s="4"/>
      <c r="F17" s="4"/>
      <c r="G17" s="4"/>
      <c r="H17" s="4"/>
    </row>
    <row r="18" customFormat="false" ht="15" hidden="false" customHeight="false" outlineLevel="0" collapsed="false">
      <c r="A18" s="21" t="n">
        <v>240</v>
      </c>
      <c r="B18" s="42" t="n">
        <f aca="false">A18*ENTRADAS!$B$9</f>
        <v>35760</v>
      </c>
      <c r="C18" s="42" t="n">
        <f aca="false">ENTRADAS!$B$6+A18*ENTRADAS!$B$8</f>
        <v>15400</v>
      </c>
      <c r="D18" s="42" t="n">
        <f aca="false">B18-C18</f>
        <v>20360</v>
      </c>
      <c r="E18" s="4"/>
      <c r="F18" s="4"/>
      <c r="G18" s="4"/>
      <c r="H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</row>
  </sheetData>
  <mergeCells count="3">
    <mergeCell ref="A1:D1"/>
    <mergeCell ref="A2:D2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2026-07-22T19:18:37Z</dcterms:created>
  <dc:creator>openpyxl</dc:creator>
  <dc:description/>
  <dc:language>en-US</dc:language>
  <cp:lastModifiedBy/>
  <dcterms:modified xsi:type="dcterms:W3CDTF">2026-07-22T19:18:37Z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