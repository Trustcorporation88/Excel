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DOS_MENSAIS" sheetId="2" state="visible" r:id="rId2"/>
  </sheets>
  <definedNames>
    <definedName name="_xlnm.Print_Area" localSheetId="0">'DASHBOARD'!$A$1:$L$44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"/>
    <numFmt numFmtId="165" formatCode="0.0%"/>
    <numFmt numFmtId="166" formatCode="0.0x"/>
  </numFmts>
  <fonts count="16">
    <font>
      <name val="Calibri"/>
      <family val="2"/>
      <color theme="1"/>
      <sz val="11"/>
      <scheme val="minor"/>
    </font>
    <font>
      <name val="Aptos Narrow"/>
      <b val="1"/>
      <color rgb="00C99C66"/>
      <sz val="9"/>
    </font>
    <font>
      <name val="Aptos Narrow"/>
      <b val="1"/>
      <color rgb="00F3ECDD"/>
      <sz val="20"/>
    </font>
    <font>
      <name val="Aptos Narrow"/>
      <i val="1"/>
      <color rgb="008A9691"/>
      <sz val="10"/>
    </font>
    <font>
      <name val="Aptos Narrow"/>
      <b val="1"/>
      <color rgb="00F3ECDD"/>
      <sz val="9"/>
    </font>
    <font>
      <name val="Aptos Narrow"/>
      <color rgb="00F3ECDD"/>
      <sz val="10"/>
    </font>
    <font>
      <name val="Aptos Narrow"/>
      <color rgb="000E1512"/>
      <sz val="9"/>
    </font>
    <font>
      <name val="Aptos Narrow"/>
      <b val="1"/>
      <color rgb="008A9691"/>
      <sz val="9"/>
    </font>
    <font>
      <name val="Aptos Narrow"/>
      <b val="1"/>
      <color rgb="00C99C66"/>
      <sz val="18"/>
    </font>
    <font>
      <name val="Aptos Narrow"/>
      <i val="1"/>
      <color rgb="008A9691"/>
      <sz val="8"/>
    </font>
    <font>
      <name val="Aptos Narrow"/>
      <b val="1"/>
      <color rgb="0043D07F"/>
      <sz val="18"/>
    </font>
    <font>
      <name val="Aptos Narrow"/>
      <b val="1"/>
      <color rgb="00D9534F"/>
      <sz val="18"/>
    </font>
    <font>
      <name val="Aptos Narrow"/>
      <b val="1"/>
      <color rgb="00E0A94B"/>
      <sz val="18"/>
    </font>
    <font>
      <name val="Aptos Narrow"/>
      <b val="1"/>
      <color rgb="00F3ECDD"/>
      <sz val="18"/>
    </font>
    <font>
      <name val="Aptos Narrow"/>
      <i val="1"/>
      <color rgb="00F3ECDD"/>
      <sz val="10"/>
    </font>
    <font>
      <name val="Aptos Narrow"/>
      <b val="1"/>
      <color rgb="00C99C66"/>
      <sz val="10"/>
    </font>
  </fonts>
  <fills count="5">
    <fill>
      <patternFill/>
    </fill>
    <fill>
      <patternFill patternType="gray125"/>
    </fill>
    <fill>
      <patternFill patternType="solid">
        <fgColor rgb="000E1512"/>
      </patternFill>
    </fill>
    <fill>
      <patternFill patternType="solid">
        <fgColor rgb="0014211B"/>
      </patternFill>
    </fill>
    <fill>
      <patternFill patternType="solid">
        <fgColor rgb="001B2C24"/>
      </patternFill>
    </fill>
  </fills>
  <borders count="2">
    <border>
      <left/>
      <right/>
      <top/>
      <bottom/>
      <diagonal/>
    </border>
    <border>
      <left style="thin">
        <color rgb="0024382E"/>
      </left>
      <right style="thin">
        <color rgb="0024382E"/>
      </right>
      <top style="thin">
        <color rgb="0024382E"/>
      </top>
      <bottom style="thin">
        <color rgb="0024382E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7" fillId="4" borderId="1" applyAlignment="1" pivotButton="0" quotePrefix="0" xfId="0">
      <alignment horizontal="center" vertical="center"/>
    </xf>
    <xf numFmtId="0" fontId="0" fillId="4" borderId="1" pivotButton="0" quotePrefix="0" xfId="0"/>
    <xf numFmtId="164" fontId="8" fillId="4" borderId="1" applyAlignment="1" pivotButton="0" quotePrefix="0" xfId="0">
      <alignment horizontal="center" vertical="center"/>
    </xf>
    <xf numFmtId="165" fontId="10" fillId="4" borderId="1" applyAlignment="1" pivotButton="0" quotePrefix="0" xfId="0">
      <alignment horizontal="center" vertical="center"/>
    </xf>
    <xf numFmtId="165" fontId="11" fillId="4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" fontId="13" fillId="4" borderId="1" applyAlignment="1" pivotButton="0" quotePrefix="0" xfId="0">
      <alignment horizontal="center" vertical="center"/>
    </xf>
    <xf numFmtId="164" fontId="10" fillId="4" borderId="1" applyAlignment="1" pivotButton="0" quotePrefix="0" xfId="0">
      <alignment horizontal="center" vertical="center"/>
    </xf>
    <xf numFmtId="0" fontId="14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15" fillId="2" borderId="0" applyAlignment="1" pivotButton="0" quotePrefix="0" xfId="0">
      <alignment horizontal="left" vertical="center" indent="1"/>
    </xf>
    <xf numFmtId="0" fontId="6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2" borderId="1" pivotButton="0" quotePrefix="0" xfId="0"/>
    <xf numFmtId="1" fontId="5" fillId="2" borderId="1" pivotButton="0" quotePrefix="0" xfId="0"/>
    <xf numFmtId="164" fontId="5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MRR por mês</a:t>
            </a:r>
          </a:p>
        </rich>
      </tx>
    </title>
    <plotArea>
      <lineChart>
        <grouping val="standard"/>
        <ser>
          <idx val="0"/>
          <order val="0"/>
          <tx>
            <strRef>
              <f>'DADOS_MENSAIS'!E5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'DADOS_MENSAIS'!$A$6:$A$12</f>
            </numRef>
          </cat>
          <val>
            <numRef>
              <f>'DADOS_MENSAIS'!$E$6:$E$12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Aquisição x churn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'DADOS_MENSAIS'!B5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'DADOS_MENSAIS'!$A$6:$A$12</f>
            </numRef>
          </cat>
          <val>
            <numRef>
              <f>'DADOS_MENSAIS'!$B$6:$B$12</f>
            </numRef>
          </val>
        </ser>
        <ser>
          <idx val="1"/>
          <order val="1"/>
          <tx>
            <strRef>
              <f>'DADOS_MENSAIS'!C5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'DADOS_MENSAIS'!$A$6:$A$12</f>
            </numRef>
          </cat>
          <val>
            <numRef>
              <f>'DADOS_MENSAIS'!$C$6:$C$12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15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15</row>
      <rowOff>0</rowOff>
    </from>
    <ext cx="39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" customWidth="1" min="12" max="12"/>
  </cols>
  <sheetData>
    <row r="1" ht="16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30" customHeight="1">
      <c r="A2" s="3" t="inlineStr">
        <is>
          <t>BI Executivo do Negócio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18" customHeight="1">
      <c r="A3" s="4" t="inlineStr">
        <is>
          <t>MRR · crescimento · churn · CAC · LTV · eficiência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15" customHeight="1">
      <c r="A5" s="2" t="n"/>
      <c r="B5" s="5" t="inlineStr">
        <is>
          <t>MRR ATUAL</t>
        </is>
      </c>
      <c r="C5" s="6" t="n"/>
      <c r="D5" s="5" t="inlineStr">
        <is>
          <t>CRESCIMENTO M/M</t>
        </is>
      </c>
      <c r="E5" s="6" t="n"/>
      <c r="F5" s="5" t="inlineStr">
        <is>
          <t>CHURN</t>
        </is>
      </c>
      <c r="G5" s="6" t="n"/>
      <c r="H5" s="5" t="inlineStr">
        <is>
          <t>CAC</t>
        </is>
      </c>
      <c r="I5" s="6" t="n"/>
      <c r="J5" s="5" t="inlineStr">
        <is>
          <t>LTV / CAC</t>
        </is>
      </c>
      <c r="K5" s="6" t="n"/>
      <c r="L5" s="2" t="n"/>
    </row>
    <row r="6" ht="26" customHeight="1">
      <c r="A6" s="2" t="n"/>
      <c r="B6" s="7">
        <f>B40</f>
        <v/>
      </c>
      <c r="C6" s="6" t="n"/>
      <c r="D6" s="8">
        <f>B41</f>
        <v/>
      </c>
      <c r="E6" s="6" t="n"/>
      <c r="F6" s="9">
        <f>B42</f>
        <v/>
      </c>
      <c r="G6" s="6" t="n"/>
      <c r="H6" s="10">
        <f>B43</f>
        <v/>
      </c>
      <c r="I6" s="6" t="n"/>
      <c r="J6" s="11">
        <f>B45</f>
        <v/>
      </c>
      <c r="K6" s="6" t="n"/>
      <c r="L6" s="2" t="n"/>
    </row>
    <row r="7" ht="14" customHeight="1">
      <c r="A7" s="2" t="n"/>
      <c r="B7" s="12" t="inlineStr"/>
      <c r="C7" s="6" t="n"/>
      <c r="D7" s="12" t="inlineStr"/>
      <c r="E7" s="6" t="n"/>
      <c r="F7" s="12" t="inlineStr"/>
      <c r="G7" s="6" t="n"/>
      <c r="H7" s="12" t="inlineStr">
        <is>
          <t>custo p/ adquirir</t>
        </is>
      </c>
      <c r="I7" s="6" t="n"/>
      <c r="J7" s="12" t="inlineStr">
        <is>
          <t>saudável ≥ 3x</t>
        </is>
      </c>
      <c r="K7" s="6" t="n"/>
      <c r="L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</row>
    <row r="9" ht="15" customHeight="1">
      <c r="A9" s="2" t="n"/>
      <c r="B9" s="5" t="inlineStr">
        <is>
          <t>CLIENTES ATIVOS</t>
        </is>
      </c>
      <c r="C9" s="6" t="n"/>
      <c r="D9" s="5" t="inlineStr">
        <is>
          <t>LTV</t>
        </is>
      </c>
      <c r="E9" s="6" t="n"/>
      <c r="F9" s="5" t="inlineStr">
        <is>
          <t>LUCRO OPER. (mês)</t>
        </is>
      </c>
      <c r="G9" s="6" t="n"/>
      <c r="H9" s="2" t="n"/>
      <c r="I9" s="2" t="n"/>
      <c r="J9" s="2" t="n"/>
      <c r="K9" s="2" t="n"/>
      <c r="L9" s="2" t="n"/>
    </row>
    <row r="10" ht="26" customHeight="1">
      <c r="A10" s="2" t="n"/>
      <c r="B10" s="13">
        <f>B46</f>
        <v/>
      </c>
      <c r="C10" s="6" t="n"/>
      <c r="D10" s="14">
        <f>B44</f>
        <v/>
      </c>
      <c r="E10" s="6" t="n"/>
      <c r="F10" s="14">
        <f>B47</f>
        <v/>
      </c>
      <c r="G10" s="6" t="n"/>
      <c r="H10" s="2" t="n"/>
      <c r="I10" s="2" t="n"/>
      <c r="J10" s="2" t="n"/>
      <c r="K10" s="2" t="n"/>
      <c r="L10" s="2" t="n"/>
    </row>
    <row r="11" ht="14" customHeight="1">
      <c r="A11" s="2" t="n"/>
      <c r="B11" s="12" t="inlineStr"/>
      <c r="C11" s="6" t="n"/>
      <c r="D11" s="12" t="inlineStr"/>
      <c r="E11" s="6" t="n"/>
      <c r="F11" s="12" t="inlineStr"/>
      <c r="G11" s="6" t="n"/>
      <c r="H11" s="2" t="n"/>
      <c r="I11" s="2" t="n"/>
      <c r="J11" s="2" t="n"/>
      <c r="K11" s="2" t="n"/>
      <c r="L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</row>
    <row r="13" ht="32" customHeight="1">
      <c r="A13" s="2" t="n"/>
      <c r="B13" s="15">
        <f>CONCATENATE("Leitura executiva: MRR de ",TEXT(B40,"R$ #,##0")," (",TEXT(B41,"+0.0%;-0.0%")," no mês). LTV/CAC de ",TEXT(B45,"0.0"),"x e churn de ",TEXT(B42,"0.0%"),". ",IF(B45&gt;=3,"Motor de aquisição saudável — pise no acelerador.",IF(B45&gt;=1,"Aquisição no limite — otimize CAC ou retenção.","Aquisição no vermelho — reduza CAC antes de escalar.")))</f>
        <v/>
      </c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17" t="inlineStr">
        <is>
          <t>EVOLUÇÃO DO MRR</t>
        </is>
      </c>
      <c r="C15" s="2" t="n"/>
      <c r="D15" s="2" t="n"/>
      <c r="E15" s="2" t="n"/>
      <c r="F15" s="2" t="n"/>
      <c r="G15" s="17" t="inlineStr">
        <is>
          <t>NOVOS x CANCELADOS</t>
        </is>
      </c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18">
        <f>INDEX(DADOS_MENSAIS!E:E,12)</f>
        <v/>
      </c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18">
        <f>IFERROR(INDEX(DADOS_MENSAIS!E:E,12)/INDEX(DADOS_MENSAIS!E:E,11)-1,0)</f>
        <v/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18">
        <f>IFERROR(INDEX(DADOS_MENSAIS!C:C,12)/INDEX(DADOS_MENSAIS!D:D,11),0)</f>
        <v/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18">
        <f>IFERROR(INDEX(DADOS_MENSAIS!F:F,12)/INDEX(DADOS_MENSAIS!B:B,12),0)</f>
        <v/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18">
        <f>IFERROR(INDEX(DADOS_MENSAIS!H:H,12)/MAX(B42,0.01),0)</f>
        <v/>
      </c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18">
        <f>IFERROR(B44/B43,0)</f>
        <v/>
      </c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18">
        <f>INDEX(DADOS_MENSAIS!D:D,12)</f>
        <v/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18">
        <f>INDEX(DADOS_MENSAIS!E:E,12)-INDEX(DADOS_MENSAIS!G:G,12)-INDEX(DADOS_MENSAIS!F:F,12)</f>
        <v/>
      </c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</sheetData>
  <mergeCells count="28">
    <mergeCell ref="F11:G11"/>
    <mergeCell ref="D10:E10"/>
    <mergeCell ref="B7:C7"/>
    <mergeCell ref="J5:K5"/>
    <mergeCell ref="F10:G10"/>
    <mergeCell ref="F6:G6"/>
    <mergeCell ref="A3:L3"/>
    <mergeCell ref="F7:G7"/>
    <mergeCell ref="D6:E6"/>
    <mergeCell ref="A2:L2"/>
    <mergeCell ref="H6:I6"/>
    <mergeCell ref="B11:C11"/>
    <mergeCell ref="J6:K6"/>
    <mergeCell ref="D11:E11"/>
    <mergeCell ref="F5:G5"/>
    <mergeCell ref="D7:E7"/>
    <mergeCell ref="H7:I7"/>
    <mergeCell ref="J7:K7"/>
    <mergeCell ref="B10:C10"/>
    <mergeCell ref="B9:C9"/>
    <mergeCell ref="D9:E9"/>
    <mergeCell ref="F9:G9"/>
    <mergeCell ref="B6:C6"/>
    <mergeCell ref="B5:C5"/>
    <mergeCell ref="B13:K13"/>
    <mergeCell ref="A1:L1"/>
    <mergeCell ref="D5:E5"/>
    <mergeCell ref="H5:I5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16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30" customHeight="1">
      <c r="A2" s="3" t="inlineStr">
        <is>
          <t>Dados Mensais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18" customHeight="1">
      <c r="A3" s="4" t="inlineStr">
        <is>
          <t>Preencha 8 números por mês — o BI monta os indicadores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 ht="26" customHeight="1">
      <c r="A5" s="19" t="inlineStr">
        <is>
          <t>Mês</t>
        </is>
      </c>
      <c r="B5" s="19" t="inlineStr">
        <is>
          <t>Novos clientes</t>
        </is>
      </c>
      <c r="C5" s="19" t="inlineStr">
        <is>
          <t>Cancelados</t>
        </is>
      </c>
      <c r="D5" s="19" t="inlineStr">
        <is>
          <t>Clientes ativos</t>
        </is>
      </c>
      <c r="E5" s="19" t="inlineStr">
        <is>
          <t>Receita (MRR)</t>
        </is>
      </c>
      <c r="F5" s="19" t="inlineStr">
        <is>
          <t>Invest. Mkt/Vendas</t>
        </is>
      </c>
      <c r="G5" s="19" t="inlineStr">
        <is>
          <t>Custo operacional</t>
        </is>
      </c>
      <c r="H5" s="19" t="inlineStr">
        <is>
          <t>Ticket médio</t>
        </is>
      </c>
      <c r="I5" s="2" t="n"/>
      <c r="J5" s="2" t="n"/>
    </row>
    <row r="6">
      <c r="A6" s="20" t="inlineStr">
        <is>
          <t>Jan</t>
        </is>
      </c>
      <c r="B6" s="21" t="n">
        <v>12</v>
      </c>
      <c r="C6" s="21" t="n">
        <v>2</v>
      </c>
      <c r="D6" s="21" t="n">
        <v>60</v>
      </c>
      <c r="E6" s="22" t="n">
        <v>18000</v>
      </c>
      <c r="F6" s="22" t="n">
        <v>4200</v>
      </c>
      <c r="G6" s="22" t="n">
        <v>9000</v>
      </c>
      <c r="H6" s="22" t="n">
        <v>300</v>
      </c>
      <c r="I6" s="2" t="n"/>
      <c r="J6" s="2" t="n"/>
    </row>
    <row r="7">
      <c r="A7" s="20" t="inlineStr">
        <is>
          <t>Fev</t>
        </is>
      </c>
      <c r="B7" s="21" t="n">
        <v>15</v>
      </c>
      <c r="C7" s="21" t="n">
        <v>3</v>
      </c>
      <c r="D7" s="21" t="n">
        <v>72</v>
      </c>
      <c r="E7" s="22" t="n">
        <v>22400</v>
      </c>
      <c r="F7" s="22" t="n">
        <v>4800</v>
      </c>
      <c r="G7" s="22" t="n">
        <v>9800</v>
      </c>
      <c r="H7" s="22" t="n">
        <v>311</v>
      </c>
      <c r="I7" s="2" t="n"/>
      <c r="J7" s="2" t="n"/>
    </row>
    <row r="8">
      <c r="A8" s="20" t="inlineStr">
        <is>
          <t>Mar</t>
        </is>
      </c>
      <c r="B8" s="21" t="n">
        <v>18</v>
      </c>
      <c r="C8" s="21" t="n">
        <v>4</v>
      </c>
      <c r="D8" s="21" t="n">
        <v>86</v>
      </c>
      <c r="E8" s="22" t="n">
        <v>27200</v>
      </c>
      <c r="F8" s="22" t="n">
        <v>5200</v>
      </c>
      <c r="G8" s="22" t="n">
        <v>10500</v>
      </c>
      <c r="H8" s="22" t="n">
        <v>316</v>
      </c>
      <c r="I8" s="2" t="n"/>
      <c r="J8" s="2" t="n"/>
    </row>
    <row r="9">
      <c r="A9" s="20" t="inlineStr">
        <is>
          <t>Abr</t>
        </is>
      </c>
      <c r="B9" s="21" t="n">
        <v>14</v>
      </c>
      <c r="C9" s="21" t="n">
        <v>5</v>
      </c>
      <c r="D9" s="21" t="n">
        <v>95</v>
      </c>
      <c r="E9" s="22" t="n">
        <v>30100</v>
      </c>
      <c r="F9" s="22" t="n">
        <v>5000</v>
      </c>
      <c r="G9" s="22" t="n">
        <v>11000</v>
      </c>
      <c r="H9" s="22" t="n">
        <v>317</v>
      </c>
      <c r="I9" s="2" t="n"/>
      <c r="J9" s="2" t="n"/>
    </row>
    <row r="10">
      <c r="A10" s="20" t="inlineStr">
        <is>
          <t>Mai</t>
        </is>
      </c>
      <c r="B10" s="21" t="n">
        <v>20</v>
      </c>
      <c r="C10" s="21" t="n">
        <v>4</v>
      </c>
      <c r="D10" s="21" t="n">
        <v>111</v>
      </c>
      <c r="E10" s="22" t="n">
        <v>35600</v>
      </c>
      <c r="F10" s="22" t="n">
        <v>6100</v>
      </c>
      <c r="G10" s="22" t="n">
        <v>12000</v>
      </c>
      <c r="H10" s="22" t="n">
        <v>321</v>
      </c>
      <c r="I10" s="2" t="n"/>
      <c r="J10" s="2" t="n"/>
    </row>
    <row r="11">
      <c r="A11" s="20" t="inlineStr">
        <is>
          <t>Jun</t>
        </is>
      </c>
      <c r="B11" s="21" t="n">
        <v>22</v>
      </c>
      <c r="C11" s="21" t="n">
        <v>6</v>
      </c>
      <c r="D11" s="21" t="n">
        <v>127</v>
      </c>
      <c r="E11" s="22" t="n">
        <v>41200</v>
      </c>
      <c r="F11" s="22" t="n">
        <v>6800</v>
      </c>
      <c r="G11" s="22" t="n">
        <v>12800</v>
      </c>
      <c r="H11" s="22" t="n">
        <v>324</v>
      </c>
      <c r="I11" s="2" t="n"/>
      <c r="J11" s="2" t="n"/>
    </row>
    <row r="12">
      <c r="A12" s="20" t="inlineStr">
        <is>
          <t>Jul</t>
        </is>
      </c>
      <c r="B12" s="21" t="n">
        <v>25</v>
      </c>
      <c r="C12" s="21" t="n">
        <v>5</v>
      </c>
      <c r="D12" s="21" t="n">
        <v>147</v>
      </c>
      <c r="E12" s="22" t="n">
        <v>47500</v>
      </c>
      <c r="F12" s="22" t="n">
        <v>7200</v>
      </c>
      <c r="G12" s="22" t="n">
        <v>13500</v>
      </c>
      <c r="H12" s="22" t="n">
        <v>323</v>
      </c>
      <c r="I12" s="2" t="n"/>
      <c r="J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</sheetData>
  <mergeCells count="3">
    <mergeCell ref="A3:H3"/>
    <mergeCell ref="A2:H2"/>
    <mergeCell ref="A1:H1"/>
  </mergeCells>
  <conditionalFormatting sqref="F6:F12">
    <cfRule type="dataBar" priority="1">
      <dataBar>
        <cfvo type="min"/>
        <cfvo type="max"/>
        <color rgb="00C99C66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2026-07-22T16:37:03Z</dcterms:created>
  <dcterms:modified xmlns:dcterms="http://purl.org/dc/terms/" xmlns:xsi="http://www.w3.org/2001/XMLSchema-instance" xsi:type="dcterms:W3CDTF">2026-07-22T16:37:03Z</dcterms:modified>
</cp:coreProperties>
</file>