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DOS_MENSAIS" sheetId="2" state="visible" r:id="rId2"/>
  </sheets>
  <definedNames>
    <definedName name="_xlnm.Print_Area" localSheetId="0">'DASHBOARD'!$A$1:$L$32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&quot;R$&quot; #,##0"/>
    <numFmt numFmtId="165" formatCode="0.0%"/>
    <numFmt numFmtId="166" formatCode="0.0&quot;x&quot;"/>
    <numFmt numFmtId="167" formatCode="#,##0;(#,##0);&quot;—&quot;"/>
    <numFmt numFmtId="168" formatCode="#,##0.0;(#,##0.0)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C99C66"/>
      <sz val="8"/>
    </font>
    <font>
      <name val="Calibri"/>
      <b val="1"/>
      <color rgb="00F3ECDD"/>
      <sz val="22"/>
    </font>
    <font>
      <name val="Calibri"/>
      <i val="1"/>
      <color rgb="008A9691"/>
      <sz val="9"/>
    </font>
    <font>
      <name val="Calibri"/>
      <b val="1"/>
      <color rgb="00F3ECDD"/>
      <sz val="8"/>
    </font>
    <font>
      <name val="Calibri"/>
      <color rgb="00F3ECDD"/>
      <sz val="9"/>
    </font>
    <font>
      <name val="Calibri"/>
      <b val="1"/>
      <color rgb="008A9691"/>
      <sz val="7"/>
    </font>
    <font>
      <name val="Calibri"/>
      <b val="1"/>
      <color rgb="00C99C66"/>
      <sz val="18"/>
    </font>
    <font>
      <name val="Calibri"/>
      <i val="1"/>
      <color rgb="008A9691"/>
      <sz val="7"/>
    </font>
    <font>
      <name val="Calibri"/>
      <b val="1"/>
      <color rgb="0043D07F"/>
      <sz val="18"/>
    </font>
    <font>
      <name val="Calibri"/>
      <b val="1"/>
      <color rgb="00D9534F"/>
      <sz val="18"/>
    </font>
    <font>
      <name val="Calibri"/>
      <b val="1"/>
      <color rgb="00E0A94B"/>
      <sz val="18"/>
    </font>
    <font>
      <name val="Calibri"/>
      <b val="1"/>
      <color rgb="00F3ECDD"/>
      <sz val="10"/>
    </font>
    <font>
      <name val="Calibri"/>
      <b val="1"/>
      <color rgb="00C99C66"/>
      <sz val="9"/>
    </font>
    <font>
      <name val="Calibri"/>
      <color rgb="00F3ECDD"/>
      <sz val="8"/>
    </font>
    <font>
      <name val="Calibri"/>
      <color rgb="008A9691"/>
      <sz val="8"/>
    </font>
    <font>
      <name val="Calibri"/>
      <color rgb="008A9691"/>
      <sz val="7"/>
    </font>
    <font>
      <name val="Calibri"/>
      <color rgb="0043D07F"/>
      <sz val="10"/>
    </font>
    <font>
      <name val="Calibri"/>
      <color rgb="00C99C66"/>
      <sz val="8"/>
    </font>
    <font>
      <name val="Calibri"/>
      <color rgb="0043D07F"/>
      <sz val="7"/>
    </font>
  </fonts>
  <fills count="6">
    <fill>
      <patternFill/>
    </fill>
    <fill>
      <patternFill patternType="gray125"/>
    </fill>
    <fill>
      <patternFill patternType="solid">
        <fgColor rgb="000B1210"/>
      </patternFill>
    </fill>
    <fill>
      <patternFill patternType="solid">
        <fgColor rgb="00121C18"/>
      </patternFill>
    </fill>
    <fill>
      <patternFill patternType="solid">
        <fgColor rgb="00182620"/>
      </patternFill>
    </fill>
    <fill>
      <patternFill patternType="solid">
        <fgColor rgb="001E3028"/>
      </patternFill>
    </fill>
  </fills>
  <borders count="3">
    <border>
      <left/>
      <right/>
      <top/>
      <bottom/>
      <diagonal/>
    </border>
    <border>
      <left style="thin">
        <color rgb="002A3D34"/>
      </left>
      <right style="thin">
        <color rgb="002A3D34"/>
      </right>
      <top style="thin">
        <color rgb="002A3D34"/>
      </top>
      <bottom style="thin">
        <color rgb="002A3D34"/>
      </bottom>
    </border>
    <border>
      <left style="thin">
        <color rgb="002A3D34"/>
      </left>
      <right style="thin">
        <color rgb="002A3D34"/>
      </right>
      <top style="thin">
        <color rgb="00C99C66"/>
      </top>
      <bottom style="thin">
        <color rgb="002A3D3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6" fillId="4" borderId="2" applyAlignment="1" pivotButton="0" quotePrefix="0" xfId="0">
      <alignment horizontal="center" vertical="center"/>
    </xf>
    <xf numFmtId="0" fontId="0" fillId="4" borderId="2" pivotButton="0" quotePrefix="0" xfId="0"/>
    <xf numFmtId="164" fontId="7" fillId="5" borderId="1" applyAlignment="1" pivotButton="0" quotePrefix="0" xfId="0">
      <alignment horizontal="center" vertical="center"/>
    </xf>
    <xf numFmtId="0" fontId="0" fillId="5" borderId="1" pivotButton="0" quotePrefix="0" xfId="0"/>
    <xf numFmtId="165" fontId="9" fillId="5" borderId="1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center" vertical="center"/>
    </xf>
    <xf numFmtId="166" fontId="7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12" fillId="4" borderId="1" applyAlignment="1" pivotButton="0" quotePrefix="0" xfId="0">
      <alignment horizontal="left" vertical="center" indent="1"/>
    </xf>
    <xf numFmtId="0" fontId="13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14" fillId="2" borderId="1" pivotButton="0" quotePrefix="0" xfId="0"/>
    <xf numFmtId="167" fontId="15" fillId="2" borderId="1" pivotButton="0" quotePrefix="0" xfId="0"/>
    <xf numFmtId="167" fontId="1" fillId="2" borderId="1" pivotButton="0" quotePrefix="0" xfId="0"/>
    <xf numFmtId="168" fontId="13" fillId="2" borderId="1" pivotButton="0" quotePrefix="0" xfId="0"/>
    <xf numFmtId="1" fontId="16" fillId="2" borderId="1" pivotButton="0" quotePrefix="0" xfId="0"/>
    <xf numFmtId="168" fontId="18" fillId="2" borderId="1" pivotButton="0" quotePrefix="0" xfId="0"/>
    <xf numFmtId="0" fontId="19" fillId="2" borderId="1" applyAlignment="1" pivotButton="0" quotePrefix="0" xfId="0">
      <alignment horizontal="center" vertical="center"/>
    </xf>
    <xf numFmtId="0" fontId="16" fillId="2" borderId="1" pivotButton="0" quotePrefix="0" xfId="0"/>
    <xf numFmtId="0" fontId="19" fillId="2" borderId="1" pivotButton="0" quotePrefix="0" xfId="0"/>
    <xf numFmtId="0" fontId="5" fillId="2" borderId="0" pivotButton="0" quotePrefix="0" xfId="0"/>
    <xf numFmtId="0" fontId="5" fillId="2" borderId="1" pivotButton="0" quotePrefix="0" xfId="0"/>
  </cellXfs>
  <cellStyles count="1">
    <cellStyle name="Normal" xfId="0" builtinId="0" hidden="0"/>
  </cellStyles>
  <dxfs count="2">
    <dxf>
      <font>
        <name val="Calibri"/>
        <b val="1"/>
        <color rgb="0043D07F"/>
        <sz val="8"/>
      </font>
    </dxf>
    <dxf>
      <font>
        <name val="Calibri"/>
        <b val="1"/>
        <color rgb="00D9534F"/>
        <sz val="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'DASHBOARD'!C12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'DASHBOARD'!$B$13:$B$16</f>
            </numRef>
          </cat>
          <val>
            <numRef>
              <f>'DASHBOARD'!$C$13:$C$16</f>
            </numRef>
          </val>
        </ser>
        <ser>
          <idx val="1"/>
          <order val="1"/>
          <tx>
            <strRef>
              <f>'DASHBOARD'!D12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'DASHBOARD'!$B$13:$B$16</f>
            </numRef>
          </cat>
          <val>
            <numRef>
              <f>'DASHBOARD'!$D$13:$D$16</f>
            </numRef>
          </val>
        </ser>
        <ser>
          <idx val="2"/>
          <order val="2"/>
          <tx>
            <strRef>
              <f>'DASHBOARD'!E12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'DASHBOARD'!$B$13:$B$16</f>
            </numRef>
          </cat>
          <val>
            <numRef>
              <f>'DASHBOARD'!$E$13:$E$16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'DADOS_MENSAIS'!E5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'DADOS_MENSAIS'!$A$6:$A$11</f>
            </numRef>
          </cat>
          <val>
            <numRef>
              <f>'DADOS_MENSAIS'!$E$6:$E$11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'DASHBOARD'!I26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'DASHBOARD'!$H$27:$H$32</f>
            </numRef>
          </cat>
          <val>
            <numRef>
              <f>'DASHBOARD'!$I$27:$I$32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2880000" cy="151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11</row>
      <rowOff>0</rowOff>
    </from>
    <ext cx="3240000" cy="18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24</row>
      <rowOff>0</rowOff>
    </from>
    <ext cx="1980000" cy="1007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8" customHeight="1">
      <c r="A2" s="3" t="inlineStr">
        <is>
          <t>BI Executivo do Negócio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4" customHeight="1">
      <c r="A3" s="4" t="inlineStr">
        <is>
          <t>MRR · churn · CAC · LTV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13" customHeight="1">
      <c r="A5" s="2" t="n"/>
      <c r="B5" s="5" t="inlineStr">
        <is>
          <t>MRR ATUAL</t>
        </is>
      </c>
      <c r="C5" s="6" t="n"/>
      <c r="D5" s="5" t="inlineStr">
        <is>
          <t>CRESCIMENTO M/M</t>
        </is>
      </c>
      <c r="E5" s="6" t="n"/>
      <c r="F5" s="5" t="inlineStr">
        <is>
          <t>CHURN</t>
        </is>
      </c>
      <c r="G5" s="6" t="n"/>
      <c r="H5" s="5" t="inlineStr">
        <is>
          <t>CAC</t>
        </is>
      </c>
      <c r="I5" s="6" t="n"/>
      <c r="J5" s="5" t="inlineStr">
        <is>
          <t>LTV / CAC</t>
        </is>
      </c>
      <c r="K5" s="6" t="n"/>
      <c r="L5" s="2" t="n"/>
      <c r="M5" s="2" t="n"/>
      <c r="N5" s="2" t="n"/>
    </row>
    <row r="6" ht="28" customHeight="1">
      <c r="A6" s="2" t="n"/>
      <c r="B6" s="7">
        <f>Z40</f>
        <v/>
      </c>
      <c r="C6" s="8" t="n"/>
      <c r="D6" s="9">
        <f>Z41</f>
        <v/>
      </c>
      <c r="E6" s="8" t="n"/>
      <c r="F6" s="10">
        <f>Z42</f>
        <v/>
      </c>
      <c r="G6" s="8" t="n"/>
      <c r="H6" s="11">
        <f>Z43</f>
        <v/>
      </c>
      <c r="I6" s="8" t="n"/>
      <c r="J6" s="12">
        <f>Z45</f>
        <v/>
      </c>
      <c r="K6" s="8" t="n"/>
      <c r="L6" s="2" t="n"/>
      <c r="M6" s="2" t="n"/>
      <c r="N6" s="2" t="n"/>
    </row>
    <row r="7" ht="12" customHeight="1">
      <c r="A7" s="2" t="n"/>
      <c r="B7" s="13" t="inlineStr"/>
      <c r="C7" s="14" t="n"/>
      <c r="D7" s="13" t="inlineStr"/>
      <c r="E7" s="14" t="n"/>
      <c r="F7" s="13" t="inlineStr"/>
      <c r="G7" s="14" t="n"/>
      <c r="H7" s="13" t="inlineStr"/>
      <c r="I7" s="14" t="n"/>
      <c r="J7" s="13" t="inlineStr"/>
      <c r="K7" s="14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18" customHeight="1">
      <c r="A9" s="2" t="n"/>
      <c r="B9" s="15">
        <f>CONCATENATE("Leitura: MRR crescendo ",TEXT(Z41,"0.0%")," com LTV/CAC de ",TEXT(Z45,"0.0"),"x. ",IF(Z45&gt;=3,"Motor de aquisição saudável — escale.","Atenção na eficiência do CAC ou retenção."))</f>
        <v/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16" t="inlineStr">
        <is>
          <t>CASCATA MRR (bridge)</t>
        </is>
      </c>
      <c r="C11" s="2" t="n"/>
      <c r="D11" s="2" t="n"/>
      <c r="E11" s="2" t="n"/>
      <c r="F11" s="16" t="inlineStr">
        <is>
          <t>EVOLUÇÃO DO MRR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18" customHeight="1">
      <c r="A12" s="2" t="n"/>
      <c r="B12" s="17" t="inlineStr">
        <is>
          <t>Etapa</t>
        </is>
      </c>
      <c r="C12" s="17" t="inlineStr">
        <is>
          <t>Base</t>
        </is>
      </c>
      <c r="D12" s="17" t="inlineStr">
        <is>
          <t>Alta</t>
        </is>
      </c>
      <c r="E12" s="17" t="inlineStr">
        <is>
          <t>Baixa</t>
        </is>
      </c>
      <c r="F12" s="17" t="inlineStr">
        <is>
          <t>Total</t>
        </is>
      </c>
      <c r="G12" s="17" t="inlineStr">
        <is>
          <t>Δ</t>
        </is>
      </c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18" t="inlineStr">
        <is>
          <t>MRR Ant.</t>
        </is>
      </c>
      <c r="C13" s="19" t="n">
        <v>0</v>
      </c>
      <c r="D13" s="19">
        <f>IF(G13&gt;=0,G13,0)</f>
        <v/>
      </c>
      <c r="E13" s="19">
        <f>IF(G13&lt;0,-G13,0)</f>
        <v/>
      </c>
      <c r="F13" s="19">
        <f>G13</f>
        <v/>
      </c>
      <c r="G13" s="20">
        <f>INDEX(DADOS_MENSAIS!E:E,10)</f>
        <v/>
      </c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18" t="inlineStr">
        <is>
          <t>+ Exp.</t>
        </is>
      </c>
      <c r="C14" s="19">
        <f>IF(G14&gt;=0,F13,F13+G14)</f>
        <v/>
      </c>
      <c r="D14" s="19">
        <f>IF(G14&gt;=0,G14,0)</f>
        <v/>
      </c>
      <c r="E14" s="19">
        <f>IF(G14&lt;0,-G14,0)</f>
        <v/>
      </c>
      <c r="F14" s="19">
        <f>F13+G14</f>
        <v/>
      </c>
      <c r="G14" s="20">
        <f>MAX(0,INDEX(DADOS_MENSAIS!E:E,11)-INDEX(DADOS_MENSAIS!E:E,10))</f>
        <v/>
      </c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18" t="inlineStr">
        <is>
          <t>− Contr.</t>
        </is>
      </c>
      <c r="C15" s="19">
        <f>IF(G15&gt;=0,F14,F14+G15)</f>
        <v/>
      </c>
      <c r="D15" s="19">
        <f>IF(G15&gt;=0,G15,0)</f>
        <v/>
      </c>
      <c r="E15" s="19">
        <f>IF(G15&lt;0,-G15,0)</f>
        <v/>
      </c>
      <c r="F15" s="19">
        <f>F14+G15</f>
        <v/>
      </c>
      <c r="G15" s="20">
        <f>MIN(0,INDEX(DADOS_MENSAIS!E:E,11)-INDEX(DADOS_MENSAIS!E:E,10))</f>
        <v/>
      </c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18" t="inlineStr">
        <is>
          <t>MRR Atual</t>
        </is>
      </c>
      <c r="C16" s="19" t="n">
        <v>0</v>
      </c>
      <c r="D16" s="19">
        <f>IF(G16&gt;=0,G16,0)</f>
        <v/>
      </c>
      <c r="E16" s="19">
        <f>IF(G16&lt;0,-G16,0)</f>
        <v/>
      </c>
      <c r="F16" s="19">
        <f>G16</f>
        <v/>
      </c>
      <c r="G16" s="20">
        <f>$Z$40</f>
        <v/>
      </c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16" t="inlineStr">
        <is>
          <t>MINI-SPARKLINES</t>
        </is>
      </c>
      <c r="C25" s="2" t="n"/>
      <c r="D25" s="2" t="n"/>
      <c r="E25" s="2" t="n"/>
      <c r="F25" s="2" t="n"/>
      <c r="G25" s="2" t="n"/>
      <c r="H25" s="16" t="inlineStr">
        <is>
          <t>SPARK MRR</t>
        </is>
      </c>
      <c r="I25" s="2" t="n"/>
      <c r="J25" s="2" t="n"/>
      <c r="K25" s="2" t="n"/>
      <c r="L25" s="2" t="n"/>
      <c r="M25" s="2" t="n"/>
      <c r="N25" s="2" t="n"/>
    </row>
    <row r="26" ht="18" customHeight="1">
      <c r="A26" s="2" t="n"/>
      <c r="B26" s="17" t="inlineStr">
        <is>
          <t>Indicador</t>
        </is>
      </c>
      <c r="C26" s="17" t="inlineStr">
        <is>
          <t>Atual</t>
        </is>
      </c>
      <c r="D26" s="17" t="inlineStr">
        <is>
          <t>S1</t>
        </is>
      </c>
      <c r="E26" s="17" t="inlineStr">
        <is>
          <t>S2</t>
        </is>
      </c>
      <c r="F26" s="17" t="inlineStr">
        <is>
          <t>S3</t>
        </is>
      </c>
      <c r="G26" s="17" t="inlineStr">
        <is>
          <t>S4</t>
        </is>
      </c>
      <c r="H26" s="17" t="inlineStr">
        <is>
          <t>Ponto</t>
        </is>
      </c>
      <c r="I26" s="17" t="inlineStr">
        <is>
          <t>Valor</t>
        </is>
      </c>
      <c r="J26" s="17" t="inlineStr">
        <is>
          <t>Spark</t>
        </is>
      </c>
      <c r="K26" s="2" t="n"/>
      <c r="L26" s="2" t="n"/>
      <c r="M26" s="2" t="n"/>
      <c r="N26" s="2" t="n"/>
    </row>
    <row r="27">
      <c r="A27" s="2" t="n"/>
      <c r="B27" s="18" t="inlineStr">
        <is>
          <t>MRR</t>
        </is>
      </c>
      <c r="C27" s="21">
        <f>$Z$40</f>
        <v/>
      </c>
      <c r="D27" s="22" t="n">
        <v>18000</v>
      </c>
      <c r="E27" s="22" t="n">
        <v>22400</v>
      </c>
      <c r="F27" s="22" t="n">
        <v>27200</v>
      </c>
      <c r="G27" s="22" t="n">
        <v>30100</v>
      </c>
      <c r="H27" s="22" t="inlineStr">
        <is>
          <t>M1</t>
        </is>
      </c>
      <c r="I27" s="23">
        <f>DADOS_MENSAIS!E6</f>
        <v/>
      </c>
      <c r="J27" s="24">
        <f>IF(OR(I27="",NOT(ISNUMBER(I27))),"",REPT("▬",MAX(1,ROUND((I27-(MIN(I27:I32)))/MAX(1E-9,(MAX(I27:I32))-(MIN(I27:I32)))*10,0))))</f>
        <v/>
      </c>
      <c r="K27" s="2" t="n"/>
      <c r="L27" s="2" t="n"/>
      <c r="M27" s="2" t="n"/>
      <c r="N27" s="2" t="n"/>
    </row>
    <row r="28">
      <c r="A28" s="2" t="n"/>
      <c r="B28" s="18" t="inlineStr">
        <is>
          <t>Churn %</t>
        </is>
      </c>
      <c r="C28" s="21">
        <f>$Z$42*100</f>
        <v/>
      </c>
      <c r="D28" s="22" t="n">
        <v>5</v>
      </c>
      <c r="E28" s="22" t="n">
        <v>4.5</v>
      </c>
      <c r="F28" s="22" t="n">
        <v>4.2</v>
      </c>
      <c r="G28" s="22" t="n">
        <v>4</v>
      </c>
      <c r="H28" s="22" t="inlineStr">
        <is>
          <t>M2</t>
        </is>
      </c>
      <c r="I28" s="23">
        <f>DADOS_MENSAIS!E7</f>
        <v/>
      </c>
      <c r="J28" s="24">
        <f>IF(OR(I28="",NOT(ISNUMBER(I28))),"",REPT("▬",MAX(1,ROUND((I28-(MIN(I27:I32)))/MAX(1E-9,(MAX(I27:I32))-(MIN(I27:I32)))*10,0))))</f>
        <v/>
      </c>
      <c r="K28" s="2" t="n"/>
      <c r="L28" s="2" t="n"/>
      <c r="M28" s="2" t="n"/>
      <c r="N28" s="2" t="n"/>
    </row>
    <row r="29">
      <c r="A29" s="2" t="n"/>
      <c r="B29" s="18" t="inlineStr">
        <is>
          <t>LTV/CAC</t>
        </is>
      </c>
      <c r="C29" s="21">
        <f>$Z$45</f>
        <v/>
      </c>
      <c r="D29" s="22" t="n">
        <v>8</v>
      </c>
      <c r="E29" s="22" t="n">
        <v>12</v>
      </c>
      <c r="F29" s="22" t="n">
        <v>15</v>
      </c>
      <c r="G29" s="22" t="n">
        <v>20</v>
      </c>
      <c r="H29" s="22" t="inlineStr">
        <is>
          <t>M3</t>
        </is>
      </c>
      <c r="I29" s="23">
        <f>DADOS_MENSAIS!E8</f>
        <v/>
      </c>
      <c r="J29" s="24">
        <f>IF(OR(I29="",NOT(ISNUMBER(I29))),"",REPT("▬",MAX(1,ROUND((I29-(MIN(I27:I32)))/MAX(1E-9,(MAX(I27:I32))-(MIN(I27:I32)))*10,0))))</f>
        <v/>
      </c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5" t="inlineStr">
        <is>
          <t>M4</t>
        </is>
      </c>
      <c r="I30" s="23">
        <f>DADOS_MENSAIS!E9</f>
        <v/>
      </c>
      <c r="J30" s="26">
        <f>IF(OR(I30="",NOT(ISNUMBER(I30))),"",REPT("▬",MAX(1,ROUND((I30-(MIN(I27:I32)))/MAX(1E-9,(MAX(I27:I32))-(MIN(I27:I32)))*10,0))))</f>
        <v/>
      </c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5" t="inlineStr">
        <is>
          <t>M5</t>
        </is>
      </c>
      <c r="I31" s="23">
        <f>DADOS_MENSAIS!E10</f>
        <v/>
      </c>
      <c r="J31" s="26">
        <f>IF(OR(I31="",NOT(ISNUMBER(I31))),"",REPT("▬",MAX(1,ROUND((I31-(MIN(I27:I32)))/MAX(1E-9,(MAX(I27:I32))-(MIN(I27:I32)))*10,0))))</f>
        <v/>
      </c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5" t="inlineStr">
        <is>
          <t>M6</t>
        </is>
      </c>
      <c r="I32" s="23">
        <f>DADOS_MENSAIS!E11</f>
        <v/>
      </c>
      <c r="J32" s="26">
        <f>IF(OR(I32="",NOT(ISNUMBER(I32))),"",REPT("▬",MAX(1,ROUND((I32-(MIN(I27:I32)))/MAX(1E-9,(MAX(I27:I32))-(MIN(I27:I32)))*10,0))))</f>
        <v/>
      </c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Z40">
        <f>INDEX(DADOS_MENSAIS!E:E,11)</f>
        <v/>
      </c>
    </row>
    <row r="41">
      <c r="Z41">
        <f>IFERROR(INDEX(DADOS_MENSAIS!E:E,11)/INDEX(DADOS_MENSAIS!E:E,10)-1,0)</f>
        <v/>
      </c>
    </row>
    <row r="42">
      <c r="Z42">
        <f>IFERROR(INDEX(DADOS_MENSAIS!C:C,11)/INDEX(DADOS_MENSAIS!D:D,10),0)</f>
        <v/>
      </c>
    </row>
    <row r="43">
      <c r="Z43">
        <f>IFERROR(INDEX(DADOS_MENSAIS!F:F,11)/INDEX(DADOS_MENSAIS!B:B,11),0)</f>
        <v/>
      </c>
    </row>
    <row r="44">
      <c r="Z44">
        <f>IFERROR(INDEX(DADOS_MENSAIS!H:H,11)/MAX(Z42,0.01),0)</f>
        <v/>
      </c>
    </row>
    <row r="45">
      <c r="Z45">
        <f>IFERROR(Z44/Z43,0)</f>
        <v/>
      </c>
    </row>
  </sheetData>
  <mergeCells count="19">
    <mergeCell ref="B7:C7"/>
    <mergeCell ref="J5:K5"/>
    <mergeCell ref="B9:K9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conditionalFormatting sqref="G13:G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27:C29">
    <cfRule type="dataBar" priority="3">
      <dataBar>
        <cfvo type="min"/>
        <cfvo type="max"/>
        <color rgb="00C99C66"/>
      </dataBar>
    </cfRule>
  </conditionalFormatting>
  <printOptions horizontalCentered="1"/>
  <pageMargins left="0.25" right="0.25" top="0.3" bottom="0.3" header="0.1" footer="0.1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8" customHeight="1">
      <c r="A2" s="3" t="inlineStr">
        <is>
          <t>Dados Mensais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4" customHeight="1">
      <c r="A3" s="4" t="inlineStr">
        <is>
          <t>Preencha para alimentar o BI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18" customHeight="1">
      <c r="A5" s="17" t="inlineStr">
        <is>
          <t>Mês</t>
        </is>
      </c>
      <c r="B5" s="17" t="inlineStr">
        <is>
          <t>Novos cl.</t>
        </is>
      </c>
      <c r="C5" s="17" t="inlineStr">
        <is>
          <t>Cancelados</t>
        </is>
      </c>
      <c r="D5" s="17" t="inlineStr">
        <is>
          <t>Cl. ativos</t>
        </is>
      </c>
      <c r="E5" s="17" t="inlineStr">
        <is>
          <t>MRR</t>
        </is>
      </c>
      <c r="F5" s="17" t="inlineStr">
        <is>
          <t>Mkt/Vendas</t>
        </is>
      </c>
      <c r="G5" s="17" t="inlineStr">
        <is>
          <t>OpEx</t>
        </is>
      </c>
      <c r="H5" s="17" t="inlineStr">
        <is>
          <t>Ticket</t>
        </is>
      </c>
      <c r="I5" s="2" t="n"/>
      <c r="J5" s="2" t="n"/>
    </row>
    <row r="6">
      <c r="A6" s="27" t="inlineStr">
        <is>
          <t>M1</t>
        </is>
      </c>
      <c r="B6" s="28" t="n">
        <v>12</v>
      </c>
      <c r="C6" s="28" t="n">
        <v>2</v>
      </c>
      <c r="D6" s="28" t="n">
        <v>60</v>
      </c>
      <c r="E6" s="28" t="n">
        <v>18000</v>
      </c>
      <c r="F6" s="28" t="n">
        <v>4200</v>
      </c>
      <c r="G6" s="28" t="n">
        <v>9000</v>
      </c>
      <c r="H6" s="28" t="n">
        <v>300</v>
      </c>
      <c r="I6" s="2" t="n"/>
      <c r="J6" s="2" t="n"/>
    </row>
    <row r="7">
      <c r="A7" s="27" t="inlineStr">
        <is>
          <t>M2</t>
        </is>
      </c>
      <c r="B7" s="28" t="n">
        <v>15</v>
      </c>
      <c r="C7" s="28" t="n">
        <v>3</v>
      </c>
      <c r="D7" s="28" t="n">
        <v>72</v>
      </c>
      <c r="E7" s="28" t="n">
        <v>22400</v>
      </c>
      <c r="F7" s="28" t="n">
        <v>4800</v>
      </c>
      <c r="G7" s="28" t="n">
        <v>9800</v>
      </c>
      <c r="H7" s="28" t="n">
        <v>311</v>
      </c>
      <c r="I7" s="2" t="n"/>
      <c r="J7" s="2" t="n"/>
    </row>
    <row r="8">
      <c r="A8" s="27" t="inlineStr">
        <is>
          <t>M3</t>
        </is>
      </c>
      <c r="B8" s="28" t="n">
        <v>18</v>
      </c>
      <c r="C8" s="28" t="n">
        <v>4</v>
      </c>
      <c r="D8" s="28" t="n">
        <v>86</v>
      </c>
      <c r="E8" s="28" t="n">
        <v>27200</v>
      </c>
      <c r="F8" s="28" t="n">
        <v>5200</v>
      </c>
      <c r="G8" s="28" t="n">
        <v>10500</v>
      </c>
      <c r="H8" s="28" t="n">
        <v>316</v>
      </c>
      <c r="I8" s="2" t="n"/>
      <c r="J8" s="2" t="n"/>
    </row>
    <row r="9">
      <c r="A9" s="27" t="inlineStr">
        <is>
          <t>M4</t>
        </is>
      </c>
      <c r="B9" s="28" t="n">
        <v>14</v>
      </c>
      <c r="C9" s="28" t="n">
        <v>5</v>
      </c>
      <c r="D9" s="28" t="n">
        <v>95</v>
      </c>
      <c r="E9" s="28" t="n">
        <v>30100</v>
      </c>
      <c r="F9" s="28" t="n">
        <v>5000</v>
      </c>
      <c r="G9" s="28" t="n">
        <v>11000</v>
      </c>
      <c r="H9" s="28" t="n">
        <v>317</v>
      </c>
      <c r="I9" s="2" t="n"/>
      <c r="J9" s="2" t="n"/>
    </row>
    <row r="10">
      <c r="A10" s="27" t="inlineStr">
        <is>
          <t>M5</t>
        </is>
      </c>
      <c r="B10" s="28" t="n">
        <v>20</v>
      </c>
      <c r="C10" s="28" t="n">
        <v>4</v>
      </c>
      <c r="D10" s="28" t="n">
        <v>111</v>
      </c>
      <c r="E10" s="28" t="n">
        <v>35600</v>
      </c>
      <c r="F10" s="28" t="n">
        <v>6100</v>
      </c>
      <c r="G10" s="28" t="n">
        <v>12000</v>
      </c>
      <c r="H10" s="28" t="n">
        <v>321</v>
      </c>
      <c r="I10" s="2" t="n"/>
      <c r="J10" s="2" t="n"/>
    </row>
    <row r="11">
      <c r="A11" s="27" t="inlineStr">
        <is>
          <t>M6</t>
        </is>
      </c>
      <c r="B11" s="28" t="n">
        <v>22</v>
      </c>
      <c r="C11" s="28" t="n">
        <v>6</v>
      </c>
      <c r="D11" s="28" t="n">
        <v>127</v>
      </c>
      <c r="E11" s="28" t="n">
        <v>41200</v>
      </c>
      <c r="F11" s="28" t="n">
        <v>6800</v>
      </c>
      <c r="G11" s="28" t="n">
        <v>12800</v>
      </c>
      <c r="H11" s="28" t="n">
        <v>324</v>
      </c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</sheetData>
  <mergeCells count="3">
    <mergeCell ref="A3:H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2026-07-22T20:17:03Z</dcterms:created>
  <dcterms:modified xmlns:dcterms="http://purl.org/dc/terms/" xmlns:xsi="http://www.w3.org/2001/XMLSchema-instance" xsi:type="dcterms:W3CDTF">2026-07-22T20:17:03Z</dcterms:modified>
</cp:coreProperties>
</file>