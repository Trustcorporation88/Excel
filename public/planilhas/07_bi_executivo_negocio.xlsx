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meifl\AppData\Local\Temp\opencode\excel-site\public\planilhas\"/>
    </mc:Choice>
  </mc:AlternateContent>
  <xr:revisionPtr revIDLastSave="0" documentId="13_ncr:1_{02834267-45F9-49FC-9A4C-706C67369FE2}" xr6:coauthVersionLast="47" xr6:coauthVersionMax="47" xr10:uidLastSave="{00000000-0000-0000-0000-000000000000}"/>
  <bookViews>
    <workbookView xWindow="735" yWindow="735" windowWidth="16200" windowHeight="9308" xr2:uid="{00000000-000D-0000-FFFF-FFFF00000000}"/>
  </bookViews>
  <sheets>
    <sheet name="DASHBOARD" sheetId="1" r:id="rId1"/>
    <sheet name="DADOS_MENSAIS" sheetId="2" r:id="rId2"/>
  </sheets>
  <definedNames>
    <definedName name="_xlnm.Print_Area" localSheetId="0">DASHBOARD!$A$1:$L$32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43" i="1" l="1"/>
  <c r="Z42" i="1"/>
  <c r="Z44" i="1" s="1"/>
  <c r="Z45" i="1" s="1"/>
  <c r="Z41" i="1"/>
  <c r="D6" i="1" s="1"/>
  <c r="Z40" i="1"/>
  <c r="B6" i="1" s="1"/>
  <c r="I32" i="1"/>
  <c r="I31" i="1"/>
  <c r="I30" i="1"/>
  <c r="I29" i="1"/>
  <c r="I28" i="1"/>
  <c r="C28" i="1"/>
  <c r="I27" i="1"/>
  <c r="J27" i="1" s="1"/>
  <c r="C27" i="1"/>
  <c r="G16" i="1"/>
  <c r="F16" i="1" s="1"/>
  <c r="G15" i="1"/>
  <c r="E15" i="1"/>
  <c r="D15" i="1"/>
  <c r="G14" i="1"/>
  <c r="E14" i="1" s="1"/>
  <c r="G13" i="1"/>
  <c r="D13" i="1" s="1"/>
  <c r="F13" i="1"/>
  <c r="E13" i="1"/>
  <c r="H6" i="1"/>
  <c r="F6" i="1"/>
  <c r="F14" i="1" l="1"/>
  <c r="D14" i="1"/>
  <c r="J28" i="1"/>
  <c r="J29" i="1"/>
  <c r="J30" i="1"/>
  <c r="J32" i="1"/>
  <c r="J31" i="1"/>
  <c r="F15" i="1"/>
  <c r="C15" i="1"/>
  <c r="C29" i="1"/>
  <c r="B9" i="1"/>
  <c r="J6" i="1"/>
  <c r="C14" i="1"/>
  <c r="D16" i="1"/>
  <c r="E16" i="1"/>
</calcChain>
</file>

<file path=xl/sharedStrings.xml><?xml version="1.0" encoding="utf-8"?>
<sst xmlns="http://schemas.openxmlformats.org/spreadsheetml/2006/main" count="57" uniqueCount="49">
  <si>
    <t>TRUST EXCEL  ·  TRUST CORPORATION</t>
  </si>
  <si>
    <t>BI Executivo do Negócio</t>
  </si>
  <si>
    <t>MRR · churn · CAC · LTV</t>
  </si>
  <si>
    <t>MRR ATUAL</t>
  </si>
  <si>
    <t>CRESCIMENTO M/M</t>
  </si>
  <si>
    <t>CHURN</t>
  </si>
  <si>
    <t>CAC</t>
  </si>
  <si>
    <t>LTV / CAC</t>
  </si>
  <si>
    <t>CASCATA MRR (bridge)</t>
  </si>
  <si>
    <t>EVOLUÇÃO DO MRR</t>
  </si>
  <si>
    <t>Etapa</t>
  </si>
  <si>
    <t>Base</t>
  </si>
  <si>
    <t>Alta</t>
  </si>
  <si>
    <t>Baixa</t>
  </si>
  <si>
    <t>Total</t>
  </si>
  <si>
    <t>Δ</t>
  </si>
  <si>
    <t>MRR Ant.</t>
  </si>
  <si>
    <t>+ Exp.</t>
  </si>
  <si>
    <t>− Contr.</t>
  </si>
  <si>
    <t>MRR Atual</t>
  </si>
  <si>
    <t>MINI-SPARKLINES</t>
  </si>
  <si>
    <t>SPARK MRR</t>
  </si>
  <si>
    <t>Indicador</t>
  </si>
  <si>
    <t>Atual</t>
  </si>
  <si>
    <t>S1</t>
  </si>
  <si>
    <t>S2</t>
  </si>
  <si>
    <t>S3</t>
  </si>
  <si>
    <t>S4</t>
  </si>
  <si>
    <t>Ponto</t>
  </si>
  <si>
    <t>Valor</t>
  </si>
  <si>
    <t>Spark</t>
  </si>
  <si>
    <t>MRR</t>
  </si>
  <si>
    <t>M1</t>
  </si>
  <si>
    <t>Churn %</t>
  </si>
  <si>
    <t>M2</t>
  </si>
  <si>
    <t>LTV/CAC</t>
  </si>
  <si>
    <t>M3</t>
  </si>
  <si>
    <t>M4</t>
  </si>
  <si>
    <t>M5</t>
  </si>
  <si>
    <t>M6</t>
  </si>
  <si>
    <t>Dados Mensais</t>
  </si>
  <si>
    <t>Preencha para alimentar o BI</t>
  </si>
  <si>
    <t>Mês</t>
  </si>
  <si>
    <t>Novos cl.</t>
  </si>
  <si>
    <t>Cancelados</t>
  </si>
  <si>
    <t>Cl. ativos</t>
  </si>
  <si>
    <t>Mkt/Vendas</t>
  </si>
  <si>
    <t>OpEx</t>
  </si>
  <si>
    <t>Ticket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</si>
</sst>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R$&quot;\ #,##0"/>
    <numFmt numFmtId="165" formatCode="0.0%"/>
    <numFmt numFmtId="166" formatCode="0.0&quot;x&quot;"/>
    <numFmt numFmtId="167" formatCode="#,##0;\(#,##0\);&quot;—&quot;"/>
    <numFmt numFmtId="168" formatCode="#,##0.0;\(#,##0.0\);&quot;—&quot;"/>
  </numFmts>
  <fonts count="19" x14ac:knownFonts="1">
    <font>
      <sz val="11"/>
      <color theme="1"/>
      <name val="Calibri"/>
      <family val="2"/>
      <scheme val="minor"/>
    </font>
    <font>
      <b/>
      <sz val="8"/>
      <color rgb="FFC99C66"/>
      <name val="Calibri"/>
    </font>
    <font>
      <b/>
      <sz val="22"/>
      <color rgb="FFF3ECDD"/>
      <name val="Calibri"/>
    </font>
    <font>
      <i/>
      <sz val="9"/>
      <color rgb="FF8A9691"/>
      <name val="Calibri"/>
    </font>
    <font>
      <b/>
      <sz val="8"/>
      <color rgb="FFF3ECDD"/>
      <name val="Calibri"/>
    </font>
    <font>
      <sz val="9"/>
      <color rgb="FFF3ECDD"/>
      <name val="Calibri"/>
    </font>
    <font>
      <b/>
      <sz val="7"/>
      <color rgb="FF8A9691"/>
      <name val="Calibri"/>
    </font>
    <font>
      <b/>
      <sz val="18"/>
      <color rgb="FFC99C66"/>
      <name val="Calibri"/>
    </font>
    <font>
      <i/>
      <sz val="7"/>
      <color rgb="FF8A9691"/>
      <name val="Calibri"/>
    </font>
    <font>
      <b/>
      <sz val="18"/>
      <color rgb="FF43D07F"/>
      <name val="Calibri"/>
    </font>
    <font>
      <b/>
      <sz val="18"/>
      <color rgb="FFD9534F"/>
      <name val="Calibri"/>
    </font>
    <font>
      <b/>
      <sz val="18"/>
      <color rgb="FFE0A94B"/>
      <name val="Calibri"/>
    </font>
    <font>
      <b/>
      <sz val="10"/>
      <color rgb="FFF3ECDD"/>
      <name val="Calibri"/>
    </font>
    <font>
      <b/>
      <sz val="9"/>
      <color rgb="FFC99C66"/>
      <name val="Calibri"/>
    </font>
    <font>
      <sz val="8"/>
      <color rgb="FFF3ECDD"/>
      <name val="Calibri"/>
    </font>
    <font>
      <sz val="8"/>
      <color rgb="FF8A9691"/>
      <name val="Calibri"/>
    </font>
    <font>
      <sz val="7"/>
      <color rgb="FF8A9691"/>
      <name val="Calibri"/>
    </font>
    <font>
      <sz val="8"/>
      <color rgb="FFC99C66"/>
      <name val="Calibri"/>
    </font>
    <font>
      <sz val="7"/>
      <color rgb="FF43D07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1210"/>
      </patternFill>
    </fill>
    <fill>
      <patternFill patternType="solid">
        <fgColor rgb="FF121C18"/>
      </patternFill>
    </fill>
    <fill>
      <patternFill patternType="solid">
        <fgColor rgb="FF182620"/>
      </patternFill>
    </fill>
    <fill>
      <patternFill patternType="solid">
        <fgColor rgb="FF1E3028"/>
      </patternFill>
    </fill>
  </fills>
  <borders count="3">
    <border>
      <left/>
      <right/>
      <top/>
      <bottom/>
      <diagonal/>
    </border>
    <border>
      <left style="thin">
        <color rgb="FF2A3D34"/>
      </left>
      <right style="thin">
        <color rgb="FF2A3D34"/>
      </right>
      <top style="thin">
        <color rgb="FF2A3D34"/>
      </top>
      <bottom style="thin">
        <color rgb="FF2A3D34"/>
      </bottom>
      <diagonal/>
    </border>
    <border>
      <left style="thin">
        <color rgb="FF2A3D34"/>
      </left>
      <right style="thin">
        <color rgb="FF2A3D34"/>
      </right>
      <top style="thin">
        <color rgb="FFC99C66"/>
      </top>
      <bottom style="thin">
        <color rgb="FF2A3D3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2" borderId="0" xfId="0" applyFill="1"/>
    <xf numFmtId="0" fontId="13" fillId="2" borderId="0" xfId="0" applyFont="1" applyFill="1" applyAlignment="1">
      <alignment horizontal="left" vertical="center"/>
    </xf>
    <xf numFmtId="0" fontId="4" fillId="3" borderId="1" xfId="0" applyFont="1" applyFill="1" applyBorder="1" applyAlignment="1">
      <alignment horizontal="center" vertical="center" wrapText="1"/>
    </xf>
    <xf numFmtId="0" fontId="14" fillId="2" borderId="1" xfId="0" applyFont="1" applyFill="1" applyBorder="1"/>
    <xf numFmtId="167" fontId="15" fillId="2" borderId="1" xfId="0" applyNumberFormat="1" applyFont="1" applyFill="1" applyBorder="1"/>
    <xf numFmtId="167" fontId="1" fillId="2" borderId="1" xfId="0" applyNumberFormat="1" applyFont="1" applyFill="1" applyBorder="1"/>
    <xf numFmtId="168" fontId="13" fillId="2" borderId="1" xfId="0" applyNumberFormat="1" applyFont="1" applyFill="1" applyBorder="1"/>
    <xf numFmtId="1" fontId="16" fillId="2" borderId="1" xfId="0" applyNumberFormat="1" applyFont="1" applyFill="1" applyBorder="1"/>
    <xf numFmtId="168" fontId="17" fillId="2" borderId="1" xfId="0" applyNumberFormat="1" applyFont="1" applyFill="1" applyBorder="1"/>
    <xf numFmtId="0" fontId="18" fillId="2" borderId="1" xfId="0" applyFont="1" applyFill="1" applyBorder="1" applyAlignment="1">
      <alignment horizontal="center" vertical="center"/>
    </xf>
    <xf numFmtId="0" fontId="16" fillId="2" borderId="1" xfId="0" applyFont="1" applyFill="1" applyBorder="1"/>
    <xf numFmtId="0" fontId="18" fillId="2" borderId="1" xfId="0" applyFont="1" applyFill="1" applyBorder="1"/>
    <xf numFmtId="0" fontId="5" fillId="2" borderId="0" xfId="0" applyFont="1" applyFill="1"/>
    <xf numFmtId="0" fontId="5" fillId="2" borderId="1" xfId="0" applyFont="1" applyFill="1" applyBorder="1"/>
    <xf numFmtId="0" fontId="8" fillId="4" borderId="1" xfId="0" applyFont="1" applyFill="1" applyBorder="1" applyAlignment="1">
      <alignment horizontal="center" vertical="center"/>
    </xf>
    <xf numFmtId="0" fontId="0" fillId="4" borderId="1" xfId="0" applyFill="1" applyBorder="1"/>
    <xf numFmtId="0" fontId="6" fillId="4" borderId="2" xfId="0" applyFont="1" applyFill="1" applyBorder="1" applyAlignment="1">
      <alignment horizontal="center" vertical="center"/>
    </xf>
    <xf numFmtId="0" fontId="0" fillId="4" borderId="2" xfId="0" applyFill="1" applyBorder="1"/>
    <xf numFmtId="0" fontId="12" fillId="4" borderId="1" xfId="0" applyFont="1" applyFill="1" applyBorder="1" applyAlignment="1">
      <alignment horizontal="left" vertical="center" indent="1"/>
    </xf>
    <xf numFmtId="165" fontId="10" fillId="5" borderId="1" xfId="0" applyNumberFormat="1" applyFont="1" applyFill="1" applyBorder="1" applyAlignment="1">
      <alignment horizontal="center" vertical="center"/>
    </xf>
    <xf numFmtId="0" fontId="0" fillId="5" borderId="1" xfId="0" applyFill="1" applyBorder="1"/>
    <xf numFmtId="0" fontId="3" fillId="2" borderId="0" xfId="0" applyFont="1" applyFill="1" applyAlignment="1">
      <alignment horizontal="left" vertical="center" indent="1"/>
    </xf>
    <xf numFmtId="0" fontId="0" fillId="2" borderId="0" xfId="0" applyFill="1"/>
    <xf numFmtId="165" fontId="9" fillId="5" borderId="1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center" indent="1"/>
    </xf>
    <xf numFmtId="164" fontId="11" fillId="5" borderId="1" xfId="0" applyNumberFormat="1" applyFont="1" applyFill="1" applyBorder="1" applyAlignment="1">
      <alignment horizontal="center" vertical="center"/>
    </xf>
    <xf numFmtId="166" fontId="7" fillId="5" borderId="1" xfId="0" applyNumberFormat="1" applyFont="1" applyFill="1" applyBorder="1" applyAlignment="1">
      <alignment horizontal="center" vertical="center"/>
    </xf>
    <xf numFmtId="164" fontId="7" fillId="5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left" vertical="center" indent="1"/>
    </xf>
  </cellXfs>
  <cellStyles count="1">
    <cellStyle name="Normal" xfId="0" builtinId="0"/>
  </cellStyles>
  <dxfs count="2">
    <dxf>
      <font>
        <b/>
        <sz val="8"/>
        <color rgb="FFD9534F"/>
        <name val="Calibri"/>
      </font>
    </dxf>
    <dxf>
      <font>
        <b/>
        <sz val="8"/>
        <color rgb="FF43D07F"/>
        <name val="Calibri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pt-BR"/>
              <a:t>Cascata</a:t>
            </a:r>
          </a:p>
        </c:rich>
      </c:tx>
      <c:overlay val="1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DASHBOARD!$C$12</c:f>
              <c:strCache>
                <c:ptCount val="1"/>
                <c:pt idx="0">
                  <c:v>Base</c:v>
                </c:pt>
              </c:strCache>
            </c:strRef>
          </c:tx>
          <c:spPr>
            <a:noFill/>
            <a:ln>
              <a:noFill/>
              <a:prstDash val="solid"/>
            </a:ln>
          </c:spPr>
          <c:invertIfNegative val="1"/>
          <c:cat>
            <c:strRef>
              <c:f>DASHBOARD!$B$13:$B$16</c:f>
              <c:strCache>
                <c:ptCount val="4"/>
                <c:pt idx="0">
                  <c:v>MRR Ant.</c:v>
                </c:pt>
                <c:pt idx="1">
                  <c:v>+ Exp.</c:v>
                </c:pt>
                <c:pt idx="2">
                  <c:v>− Contr.</c:v>
                </c:pt>
                <c:pt idx="3">
                  <c:v>MRR Atual</c:v>
                </c:pt>
              </c:strCache>
            </c:strRef>
          </c:cat>
          <c:val>
            <c:numRef>
              <c:f>DASHBOARD!$C$13:$C$16</c:f>
              <c:numCache>
                <c:formatCode>#,##0;\(#,##0\);"—"</c:formatCode>
                <c:ptCount val="4"/>
                <c:pt idx="0">
                  <c:v>0</c:v>
                </c:pt>
                <c:pt idx="1">
                  <c:v>35600</c:v>
                </c:pt>
                <c:pt idx="2">
                  <c:v>41200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49-4725-B01F-09EB4E65E171}"/>
            </c:ext>
          </c:extLst>
        </c:ser>
        <c:ser>
          <c:idx val="1"/>
          <c:order val="1"/>
          <c:tx>
            <c:strRef>
              <c:f>DASHBOARD!$D$12</c:f>
              <c:strCache>
                <c:ptCount val="1"/>
                <c:pt idx="0">
                  <c:v>Alta</c:v>
                </c:pt>
              </c:strCache>
            </c:strRef>
          </c:tx>
          <c:spPr>
            <a:solidFill>
              <a:srgbClr val="2E9E5B"/>
            </a:solidFill>
            <a:ln>
              <a:prstDash val="solid"/>
            </a:ln>
          </c:spPr>
          <c:invertIfNegative val="1"/>
          <c:cat>
            <c:strRef>
              <c:f>DASHBOARD!$B$13:$B$16</c:f>
              <c:strCache>
                <c:ptCount val="4"/>
                <c:pt idx="0">
                  <c:v>MRR Ant.</c:v>
                </c:pt>
                <c:pt idx="1">
                  <c:v>+ Exp.</c:v>
                </c:pt>
                <c:pt idx="2">
                  <c:v>− Contr.</c:v>
                </c:pt>
                <c:pt idx="3">
                  <c:v>MRR Atual</c:v>
                </c:pt>
              </c:strCache>
            </c:strRef>
          </c:cat>
          <c:val>
            <c:numRef>
              <c:f>DASHBOARD!$D$13:$D$16</c:f>
              <c:numCache>
                <c:formatCode>#,##0;\(#,##0\);"—"</c:formatCode>
                <c:ptCount val="4"/>
                <c:pt idx="0">
                  <c:v>35600</c:v>
                </c:pt>
                <c:pt idx="1">
                  <c:v>5600</c:v>
                </c:pt>
                <c:pt idx="2">
                  <c:v>0</c:v>
                </c:pt>
                <c:pt idx="3">
                  <c:v>41200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FC49-4725-B01F-09EB4E65E171}"/>
            </c:ext>
          </c:extLst>
        </c:ser>
        <c:ser>
          <c:idx val="2"/>
          <c:order val="2"/>
          <c:tx>
            <c:strRef>
              <c:f>DASHBOARD!$E$12</c:f>
              <c:strCache>
                <c:ptCount val="1"/>
                <c:pt idx="0">
                  <c:v>Baixa</c:v>
                </c:pt>
              </c:strCache>
            </c:strRef>
          </c:tx>
          <c:spPr>
            <a:solidFill>
              <a:srgbClr val="D9534F"/>
            </a:solidFill>
            <a:ln>
              <a:prstDash val="solid"/>
            </a:ln>
          </c:spPr>
          <c:invertIfNegative val="1"/>
          <c:cat>
            <c:strRef>
              <c:f>DASHBOARD!$B$13:$B$16</c:f>
              <c:strCache>
                <c:ptCount val="4"/>
                <c:pt idx="0">
                  <c:v>MRR Ant.</c:v>
                </c:pt>
                <c:pt idx="1">
                  <c:v>+ Exp.</c:v>
                </c:pt>
                <c:pt idx="2">
                  <c:v>− Contr.</c:v>
                </c:pt>
                <c:pt idx="3">
                  <c:v>MRR Atual</c:v>
                </c:pt>
              </c:strCache>
            </c:strRef>
          </c:cat>
          <c:val>
            <c:numRef>
              <c:f>DASHBOARD!$E$13:$E$16</c:f>
              <c:numCache>
                <c:formatCode>#,##0;\(#,##0\);"—"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FC49-4725-B01F-09EB4E65E1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#,##0;\(#,##0\);&quot;—&quot;" sourceLinked="1"/>
        <c:majorTickMark val="none"/>
        <c:minorTickMark val="none"/>
        <c:tickLblPos val="nextTo"/>
        <c:crossAx val="10"/>
        <c:crosses val="autoZero"/>
        <c:crossBetween val="between"/>
      </c:valAx>
      <c:spPr>
        <a:solidFill>
          <a:srgbClr val="0E1713"/>
        </a:solidFill>
        <a:ln>
          <a:prstDash val="solid"/>
        </a:ln>
      </c:spPr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strRef>
              <c:f>DADOS_MENSAIS!$E$5</c:f>
              <c:strCache>
                <c:ptCount val="1"/>
                <c:pt idx="0">
                  <c:v>MRR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DADOS_MENSAIS!$A$6:$A$11</c:f>
              <c:strCache>
                <c:ptCount val="6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</c:strCache>
            </c:strRef>
          </c:cat>
          <c:val>
            <c:numRef>
              <c:f>DADOS_MENSAIS!$E$6:$E$11</c:f>
              <c:numCache>
                <c:formatCode>General</c:formatCode>
                <c:ptCount val="6"/>
                <c:pt idx="0">
                  <c:v>18000</c:v>
                </c:pt>
                <c:pt idx="1">
                  <c:v>22400</c:v>
                </c:pt>
                <c:pt idx="2">
                  <c:v>27200</c:v>
                </c:pt>
                <c:pt idx="3">
                  <c:v>30100</c:v>
                </c:pt>
                <c:pt idx="4">
                  <c:v>35600</c:v>
                </c:pt>
                <c:pt idx="5">
                  <c:v>41200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913-438F-A046-A5978E5215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  <c:spPr>
        <a:solidFill>
          <a:srgbClr val="0E1713"/>
        </a:solidFill>
        <a:ln>
          <a:prstDash val="solid"/>
        </a:ln>
      </c:spPr>
    </c:plotArea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strRef>
              <c:f>DASHBOARD!$I$26</c:f>
              <c:strCache>
                <c:ptCount val="1"/>
                <c:pt idx="0">
                  <c:v>Valor</c:v>
                </c:pt>
              </c:strCache>
            </c:strRef>
          </c:tx>
          <c:spPr>
            <a:ln w="15000">
              <a:solidFill>
                <a:srgbClr val="C99C66"/>
              </a:solidFill>
              <a:prstDash val="solid"/>
            </a:ln>
          </c:spPr>
          <c:marker>
            <c:symbol val="none"/>
          </c:marker>
          <c:cat>
            <c:strRef>
              <c:f>DASHBOARD!$H$27:$H$32</c:f>
              <c:strCache>
                <c:ptCount val="6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</c:strCache>
            </c:strRef>
          </c:cat>
          <c:val>
            <c:numRef>
              <c:f>DASHBOARD!$I$27:$I$32</c:f>
              <c:numCache>
                <c:formatCode>#,##0.0;\(#,##0.0\);"—"</c:formatCode>
                <c:ptCount val="6"/>
                <c:pt idx="0">
                  <c:v>18000</c:v>
                </c:pt>
                <c:pt idx="1">
                  <c:v>22400</c:v>
                </c:pt>
                <c:pt idx="2">
                  <c:v>27200</c:v>
                </c:pt>
                <c:pt idx="3">
                  <c:v>30100</c:v>
                </c:pt>
                <c:pt idx="4">
                  <c:v>35600</c:v>
                </c:pt>
                <c:pt idx="5">
                  <c:v>41200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00C-45DB-A055-B08A24C850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numFmt formatCode="#,##0.0;\(#,##0.0\);&quot;—&quot;" sourceLinked="1"/>
        <c:majorTickMark val="none"/>
        <c:minorTickMark val="none"/>
        <c:tickLblPos val="nextTo"/>
        <c:crossAx val="10"/>
        <c:crosses val="autoZero"/>
        <c:crossBetween val="between"/>
      </c:valAx>
      <c:spPr>
        <a:solidFill>
          <a:srgbClr val="0E1713"/>
        </a:solidFill>
        <a:ln>
          <a:prstDash val="solid"/>
        </a:ln>
      </c:spPr>
    </c:plotArea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15</xdr:row>
      <xdr:rowOff>0</xdr:rowOff>
    </xdr:from>
    <xdr:ext cx="2880000" cy="1512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5</xdr:col>
      <xdr:colOff>0</xdr:colOff>
      <xdr:row>11</xdr:row>
      <xdr:rowOff>0</xdr:rowOff>
    </xdr:from>
    <xdr:ext cx="3240000" cy="18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10</xdr:col>
      <xdr:colOff>0</xdr:colOff>
      <xdr:row>24</xdr:row>
      <xdr:rowOff>0</xdr:rowOff>
    </xdr:from>
    <xdr:ext cx="1980000" cy="1007999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E45"/>
  <sheetViews>
    <sheetView showGridLines="0" tabSelected="1" workbookViewId="0">
      <pane ySplit="4" topLeftCell="A5" activePane="bottomLeft" state="frozen"/>
      <selection pane="bottomLeft" sqref="A1:L1"/>
    </sheetView>
  </sheetViews>
  <sheetFormatPr defaultRowHeight="14.25" x14ac:dyDescent="0.45"/>
  <cols>
    <col min="1" max="1" width="2" customWidth="1"/>
    <col min="2" max="12" width="14" customWidth="1"/>
    <col min="26" max="31" width="13" hidden="1" customWidth="1"/>
  </cols>
  <sheetData>
    <row r="1" spans="1:14" ht="14" customHeight="1" x14ac:dyDescent="0.45">
      <c r="A1" s="29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1"/>
      <c r="N1" s="1"/>
    </row>
    <row r="2" spans="1:14" ht="28.05" customHeight="1" x14ac:dyDescent="0.45">
      <c r="A2" s="25" t="s">
        <v>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1"/>
      <c r="N2" s="1"/>
    </row>
    <row r="3" spans="1:14" ht="14" customHeight="1" x14ac:dyDescent="0.45">
      <c r="A3" s="22" t="s">
        <v>2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1"/>
      <c r="N3" s="1"/>
    </row>
    <row r="4" spans="1:14" x14ac:dyDescent="0.4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13.05" customHeight="1" x14ac:dyDescent="0.45">
      <c r="A5" s="1"/>
      <c r="B5" s="17" t="s">
        <v>3</v>
      </c>
      <c r="C5" s="18"/>
      <c r="D5" s="17" t="s">
        <v>4</v>
      </c>
      <c r="E5" s="18"/>
      <c r="F5" s="17" t="s">
        <v>5</v>
      </c>
      <c r="G5" s="18"/>
      <c r="H5" s="17" t="s">
        <v>6</v>
      </c>
      <c r="I5" s="18"/>
      <c r="J5" s="17" t="s">
        <v>7</v>
      </c>
      <c r="K5" s="18"/>
      <c r="L5" s="1"/>
      <c r="M5" s="1"/>
      <c r="N5" s="1"/>
    </row>
    <row r="6" spans="1:14" ht="28.05" customHeight="1" x14ac:dyDescent="0.45">
      <c r="A6" s="1"/>
      <c r="B6" s="28">
        <f>Z40</f>
        <v>41200</v>
      </c>
      <c r="C6" s="21"/>
      <c r="D6" s="24">
        <f>Z41</f>
        <v>0.15730337078651679</v>
      </c>
      <c r="E6" s="21"/>
      <c r="F6" s="20">
        <f>Z42</f>
        <v>5.4054054054054057E-2</v>
      </c>
      <c r="G6" s="21"/>
      <c r="H6" s="26">
        <f>Z43</f>
        <v>309.09090909090907</v>
      </c>
      <c r="I6" s="21"/>
      <c r="J6" s="27">
        <f>Z45</f>
        <v>19.392352941176473</v>
      </c>
      <c r="K6" s="21"/>
      <c r="L6" s="1"/>
      <c r="M6" s="1"/>
      <c r="N6" s="1"/>
    </row>
    <row r="7" spans="1:14" ht="12" customHeight="1" x14ac:dyDescent="0.45">
      <c r="A7" s="1"/>
      <c r="B7" s="15"/>
      <c r="C7" s="16"/>
      <c r="D7" s="15"/>
      <c r="E7" s="16"/>
      <c r="F7" s="15"/>
      <c r="G7" s="16"/>
      <c r="H7" s="15"/>
      <c r="I7" s="16"/>
      <c r="J7" s="15"/>
      <c r="K7" s="16"/>
      <c r="L7" s="1"/>
      <c r="M7" s="1"/>
      <c r="N7" s="1"/>
    </row>
    <row r="8" spans="1:14" x14ac:dyDescent="0.4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ht="18" customHeight="1" x14ac:dyDescent="0.45">
      <c r="A9" s="1"/>
      <c r="B9" s="19" t="str">
        <f>CONCATENATE("Leitura: MRR crescendo ",TEXT(Z41,"0.0%")," com LTV/CAC de ",TEXT(Z45,"0.0"),"x. ",IF(Z45&gt;=3,"Motor de aquisição saudável — escale.","Atenção na eficiência do CAC ou retenção."))</f>
        <v>Leitura: MRR crescendo 16% com LTV/CAC de 19x. Motor de aquisição saudável — escale.</v>
      </c>
      <c r="C9" s="16"/>
      <c r="D9" s="16"/>
      <c r="E9" s="16"/>
      <c r="F9" s="16"/>
      <c r="G9" s="16"/>
      <c r="H9" s="16"/>
      <c r="I9" s="16"/>
      <c r="J9" s="16"/>
      <c r="K9" s="16"/>
      <c r="L9" s="1"/>
      <c r="M9" s="1"/>
      <c r="N9" s="1"/>
    </row>
    <row r="10" spans="1:14" x14ac:dyDescent="0.4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x14ac:dyDescent="0.45">
      <c r="A11" s="1"/>
      <c r="B11" s="2" t="s">
        <v>8</v>
      </c>
      <c r="C11" s="1"/>
      <c r="D11" s="1"/>
      <c r="E11" s="1"/>
      <c r="F11" s="2" t="s">
        <v>9</v>
      </c>
      <c r="G11" s="1"/>
      <c r="H11" s="1"/>
      <c r="I11" s="1"/>
      <c r="J11" s="1"/>
      <c r="K11" s="1"/>
      <c r="L11" s="1"/>
      <c r="M11" s="1"/>
      <c r="N11" s="1"/>
    </row>
    <row r="12" spans="1:14" ht="18" customHeight="1" x14ac:dyDescent="0.45">
      <c r="A12" s="1"/>
      <c r="B12" s="3" t="s">
        <v>10</v>
      </c>
      <c r="C12" s="3" t="s">
        <v>11</v>
      </c>
      <c r="D12" s="3" t="s">
        <v>12</v>
      </c>
      <c r="E12" s="3" t="s">
        <v>13</v>
      </c>
      <c r="F12" s="3" t="s">
        <v>14</v>
      </c>
      <c r="G12" s="3" t="s">
        <v>15</v>
      </c>
      <c r="H12" s="1"/>
      <c r="I12" s="1"/>
      <c r="J12" s="1"/>
      <c r="K12" s="1"/>
      <c r="L12" s="1"/>
      <c r="M12" s="1"/>
      <c r="N12" s="1"/>
    </row>
    <row r="13" spans="1:14" x14ac:dyDescent="0.45">
      <c r="A13" s="1"/>
      <c r="B13" s="4" t="s">
        <v>16</v>
      </c>
      <c r="C13" s="5">
        <v>0</v>
      </c>
      <c r="D13" s="5">
        <f>IF(G13&gt;=0,G13,0)</f>
        <v>35600</v>
      </c>
      <c r="E13" s="5">
        <f>IF(G13&lt;0,-G13,0)</f>
        <v>0</v>
      </c>
      <c r="F13" s="5">
        <f>G13</f>
        <v>35600</v>
      </c>
      <c r="G13" s="6">
        <f>INDEX(DADOS_MENSAIS!E:E,10)</f>
        <v>35600</v>
      </c>
      <c r="H13" s="1"/>
      <c r="I13" s="1"/>
      <c r="J13" s="1"/>
      <c r="K13" s="1"/>
      <c r="L13" s="1"/>
      <c r="M13" s="1"/>
      <c r="N13" s="1"/>
    </row>
    <row r="14" spans="1:14" x14ac:dyDescent="0.45">
      <c r="A14" s="1"/>
      <c r="B14" s="4" t="s">
        <v>17</v>
      </c>
      <c r="C14" s="5">
        <f>IF(G14&gt;=0,F13,F13+G14)</f>
        <v>35600</v>
      </c>
      <c r="D14" s="5">
        <f>IF(G14&gt;=0,G14,0)</f>
        <v>5600</v>
      </c>
      <c r="E14" s="5">
        <f>IF(G14&lt;0,-G14,0)</f>
        <v>0</v>
      </c>
      <c r="F14" s="5">
        <f>F13+G14</f>
        <v>41200</v>
      </c>
      <c r="G14" s="6">
        <f>MAX(0,INDEX(DADOS_MENSAIS!E:E,11)-INDEX(DADOS_MENSAIS!E:E,10))</f>
        <v>5600</v>
      </c>
      <c r="H14" s="1"/>
      <c r="I14" s="1"/>
      <c r="J14" s="1"/>
      <c r="K14" s="1"/>
      <c r="L14" s="1"/>
      <c r="M14" s="1"/>
      <c r="N14" s="1"/>
    </row>
    <row r="15" spans="1:14" x14ac:dyDescent="0.45">
      <c r="A15" s="1"/>
      <c r="B15" s="4" t="s">
        <v>18</v>
      </c>
      <c r="C15" s="5">
        <f>IF(G15&gt;=0,F14,F14+G15)</f>
        <v>41200</v>
      </c>
      <c r="D15" s="5">
        <f>IF(G15&gt;=0,G15,0)</f>
        <v>0</v>
      </c>
      <c r="E15" s="5">
        <f>IF(G15&lt;0,-G15,0)</f>
        <v>0</v>
      </c>
      <c r="F15" s="5">
        <f>F14+G15</f>
        <v>41200</v>
      </c>
      <c r="G15" s="6">
        <f>MIN(0,INDEX(DADOS_MENSAIS!E:E,11)-INDEX(DADOS_MENSAIS!E:E,10))</f>
        <v>0</v>
      </c>
      <c r="H15" s="1"/>
      <c r="I15" s="1"/>
      <c r="J15" s="1"/>
      <c r="K15" s="1"/>
      <c r="L15" s="1"/>
      <c r="M15" s="1"/>
      <c r="N15" s="1"/>
    </row>
    <row r="16" spans="1:14" x14ac:dyDescent="0.45">
      <c r="A16" s="1"/>
      <c r="B16" s="4" t="s">
        <v>19</v>
      </c>
      <c r="C16" s="5">
        <v>0</v>
      </c>
      <c r="D16" s="5">
        <f>IF(G16&gt;=0,G16,0)</f>
        <v>41200</v>
      </c>
      <c r="E16" s="5">
        <f>IF(G16&lt;0,-G16,0)</f>
        <v>0</v>
      </c>
      <c r="F16" s="5">
        <f>G16</f>
        <v>41200</v>
      </c>
      <c r="G16" s="6">
        <f>$Z$40</f>
        <v>41200</v>
      </c>
      <c r="H16" s="1"/>
      <c r="I16" s="1"/>
      <c r="J16" s="1"/>
      <c r="K16" s="1"/>
      <c r="L16" s="1"/>
      <c r="M16" s="1"/>
      <c r="N16" s="1"/>
    </row>
    <row r="17" spans="1:14" x14ac:dyDescent="0.4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x14ac:dyDescent="0.4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x14ac:dyDescent="0.4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x14ac:dyDescent="0.4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x14ac:dyDescent="0.4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x14ac:dyDescent="0.4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x14ac:dyDescent="0.4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x14ac:dyDescent="0.4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x14ac:dyDescent="0.45">
      <c r="A25" s="1"/>
      <c r="B25" s="2" t="s">
        <v>20</v>
      </c>
      <c r="C25" s="1"/>
      <c r="D25" s="1"/>
      <c r="E25" s="1"/>
      <c r="F25" s="1"/>
      <c r="G25" s="1"/>
      <c r="H25" s="2" t="s">
        <v>21</v>
      </c>
      <c r="I25" s="1"/>
      <c r="J25" s="1"/>
      <c r="K25" s="1"/>
      <c r="L25" s="1"/>
      <c r="M25" s="1"/>
      <c r="N25" s="1"/>
    </row>
    <row r="26" spans="1:14" ht="18" customHeight="1" x14ac:dyDescent="0.45">
      <c r="A26" s="1"/>
      <c r="B26" s="3" t="s">
        <v>22</v>
      </c>
      <c r="C26" s="3" t="s">
        <v>23</v>
      </c>
      <c r="D26" s="3" t="s">
        <v>24</v>
      </c>
      <c r="E26" s="3" t="s">
        <v>25</v>
      </c>
      <c r="F26" s="3" t="s">
        <v>26</v>
      </c>
      <c r="G26" s="3" t="s">
        <v>27</v>
      </c>
      <c r="H26" s="3" t="s">
        <v>28</v>
      </c>
      <c r="I26" s="3" t="s">
        <v>29</v>
      </c>
      <c r="J26" s="3" t="s">
        <v>30</v>
      </c>
      <c r="K26" s="1"/>
      <c r="L26" s="1"/>
      <c r="M26" s="1"/>
      <c r="N26" s="1"/>
    </row>
    <row r="27" spans="1:14" x14ac:dyDescent="0.45">
      <c r="A27" s="1"/>
      <c r="B27" s="4" t="s">
        <v>31</v>
      </c>
      <c r="C27" s="7">
        <f>$Z$40</f>
        <v>41200</v>
      </c>
      <c r="D27" s="8">
        <v>18000</v>
      </c>
      <c r="E27" s="8">
        <v>22400</v>
      </c>
      <c r="F27" s="8">
        <v>27200</v>
      </c>
      <c r="G27" s="8">
        <v>30100</v>
      </c>
      <c r="H27" s="8" t="s">
        <v>32</v>
      </c>
      <c r="I27" s="9">
        <f>DADOS_MENSAIS!E6</f>
        <v>18000</v>
      </c>
      <c r="J27" s="10" t="str">
        <f>IF(OR(I27="",NOT(ISNUMBER(I27))),"",REPT("▬",MAX(1,ROUND((I27-(MIN(I27:I32)))/MAX(0.000000001,(MAX(I27:I32))-(MIN(I27:I32)))*10,0))))</f>
        <v>▬</v>
      </c>
      <c r="K27" s="1"/>
      <c r="L27" s="1"/>
      <c r="M27" s="1"/>
      <c r="N27" s="1"/>
    </row>
    <row r="28" spans="1:14" x14ac:dyDescent="0.45">
      <c r="A28" s="1"/>
      <c r="B28" s="4" t="s">
        <v>33</v>
      </c>
      <c r="C28" s="7">
        <f>$Z$42*100</f>
        <v>5.4054054054054053</v>
      </c>
      <c r="D28" s="8">
        <v>5</v>
      </c>
      <c r="E28" s="8">
        <v>4.5</v>
      </c>
      <c r="F28" s="8">
        <v>4.2</v>
      </c>
      <c r="G28" s="8">
        <v>4</v>
      </c>
      <c r="H28" s="8" t="s">
        <v>34</v>
      </c>
      <c r="I28" s="9">
        <f>DADOS_MENSAIS!E7</f>
        <v>22400</v>
      </c>
      <c r="J28" s="10" t="str">
        <f>IF(OR(I28="",NOT(ISNUMBER(I28))),"",REPT("▬",MAX(1,ROUND((I28-(MIN(I27:I32)))/MAX(0.000000001,(MAX(I27:I32))-(MIN(I27:I32)))*10,0))))</f>
        <v>▬▬</v>
      </c>
      <c r="K28" s="1"/>
      <c r="L28" s="1"/>
      <c r="M28" s="1"/>
      <c r="N28" s="1"/>
    </row>
    <row r="29" spans="1:14" x14ac:dyDescent="0.45">
      <c r="A29" s="1"/>
      <c r="B29" s="4" t="s">
        <v>35</v>
      </c>
      <c r="C29" s="7">
        <f>$Z$45</f>
        <v>19.392352941176473</v>
      </c>
      <c r="D29" s="8">
        <v>8</v>
      </c>
      <c r="E29" s="8">
        <v>12</v>
      </c>
      <c r="F29" s="8">
        <v>15</v>
      </c>
      <c r="G29" s="8">
        <v>20</v>
      </c>
      <c r="H29" s="8" t="s">
        <v>36</v>
      </c>
      <c r="I29" s="9">
        <f>DADOS_MENSAIS!E8</f>
        <v>27200</v>
      </c>
      <c r="J29" s="10" t="str">
        <f>IF(OR(I29="",NOT(ISNUMBER(I29))),"",REPT("▬",MAX(1,ROUND((I29-(MIN(I27:I32)))/MAX(0.000000001,(MAX(I27:I32))-(MIN(I27:I32)))*10,0))))</f>
        <v>▬▬▬▬</v>
      </c>
      <c r="K29" s="1"/>
      <c r="L29" s="1"/>
      <c r="M29" s="1"/>
      <c r="N29" s="1"/>
    </row>
    <row r="30" spans="1:14" x14ac:dyDescent="0.45">
      <c r="A30" s="1"/>
      <c r="B30" s="1"/>
      <c r="C30" s="1"/>
      <c r="D30" s="1"/>
      <c r="E30" s="1"/>
      <c r="F30" s="1"/>
      <c r="G30" s="1"/>
      <c r="H30" s="11" t="s">
        <v>37</v>
      </c>
      <c r="I30" s="9">
        <f>DADOS_MENSAIS!E9</f>
        <v>30100</v>
      </c>
      <c r="J30" s="12" t="str">
        <f>IF(OR(I30="",NOT(ISNUMBER(I30))),"",REPT("▬",MAX(1,ROUND((I30-(MIN(I27:I32)))/MAX(0.000000001,(MAX(I27:I32))-(MIN(I27:I32)))*10,0))))</f>
        <v>▬▬▬▬▬</v>
      </c>
      <c r="K30" s="1"/>
      <c r="L30" s="1"/>
      <c r="M30" s="1"/>
      <c r="N30" s="1"/>
    </row>
    <row r="31" spans="1:14" x14ac:dyDescent="0.45">
      <c r="A31" s="1"/>
      <c r="B31" s="1"/>
      <c r="C31" s="1"/>
      <c r="D31" s="1"/>
      <c r="E31" s="1"/>
      <c r="F31" s="1"/>
      <c r="G31" s="1"/>
      <c r="H31" s="11" t="s">
        <v>38</v>
      </c>
      <c r="I31" s="9">
        <f>DADOS_MENSAIS!E10</f>
        <v>35600</v>
      </c>
      <c r="J31" s="12" t="str">
        <f>IF(OR(I31="",NOT(ISNUMBER(I31))),"",REPT("▬",MAX(1,ROUND((I31-(MIN(I27:I32)))/MAX(0.000000001,(MAX(I27:I32))-(MIN(I27:I32)))*10,0))))</f>
        <v>▬▬▬▬▬▬▬▬</v>
      </c>
      <c r="K31" s="1"/>
      <c r="L31" s="1"/>
      <c r="M31" s="1"/>
      <c r="N31" s="1"/>
    </row>
    <row r="32" spans="1:14" x14ac:dyDescent="0.45">
      <c r="A32" s="1"/>
      <c r="B32" s="1"/>
      <c r="C32" s="1"/>
      <c r="D32" s="1"/>
      <c r="E32" s="1"/>
      <c r="F32" s="1"/>
      <c r="G32" s="1"/>
      <c r="H32" s="11" t="s">
        <v>39</v>
      </c>
      <c r="I32" s="9">
        <f>DADOS_MENSAIS!E11</f>
        <v>41200</v>
      </c>
      <c r="J32" s="12" t="str">
        <f>IF(OR(I32="",NOT(ISNUMBER(I32))),"",REPT("▬",MAX(1,ROUND((I32-(MIN(I27:I32)))/MAX(0.000000001,(MAX(I27:I32))-(MIN(I27:I32)))*10,0))))</f>
        <v>▬▬▬▬▬▬▬▬▬▬</v>
      </c>
      <c r="K32" s="1"/>
      <c r="L32" s="1"/>
      <c r="M32" s="1"/>
      <c r="N32" s="1"/>
    </row>
    <row r="33" spans="1:26" x14ac:dyDescent="0.4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26" x14ac:dyDescent="0.4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26" x14ac:dyDescent="0.4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26" x14ac:dyDescent="0.4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26" x14ac:dyDescent="0.4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26" x14ac:dyDescent="0.4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26" x14ac:dyDescent="0.4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26" x14ac:dyDescent="0.4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Z40">
        <f>INDEX(DADOS_MENSAIS!E:E,11)</f>
        <v>41200</v>
      </c>
    </row>
    <row r="41" spans="1:26" x14ac:dyDescent="0.45">
      <c r="Z41">
        <f>IFERROR(INDEX(DADOS_MENSAIS!E:E,11)/INDEX(DADOS_MENSAIS!E:E,10)-1,0)</f>
        <v>0.15730337078651679</v>
      </c>
    </row>
    <row r="42" spans="1:26" x14ac:dyDescent="0.45">
      <c r="Z42">
        <f>IFERROR(INDEX(DADOS_MENSAIS!C:C,11)/INDEX(DADOS_MENSAIS!D:D,10),0)</f>
        <v>5.4054054054054057E-2</v>
      </c>
    </row>
    <row r="43" spans="1:26" x14ac:dyDescent="0.45">
      <c r="Z43">
        <f>IFERROR(INDEX(DADOS_MENSAIS!F:F,11)/INDEX(DADOS_MENSAIS!B:B,11),0)</f>
        <v>309.09090909090907</v>
      </c>
    </row>
    <row r="44" spans="1:26" x14ac:dyDescent="0.45">
      <c r="Z44">
        <f>IFERROR(INDEX(DADOS_MENSAIS!H:H,11)/MAX(Z42,0.01),0)</f>
        <v>5994</v>
      </c>
    </row>
    <row r="45" spans="1:26" x14ac:dyDescent="0.45">
      <c r="Z45">
        <f>IFERROR(Z44/Z43,0)</f>
        <v>19.392352941176473</v>
      </c>
    </row>
  </sheetData>
  <mergeCells count="19">
    <mergeCell ref="A1:L1"/>
    <mergeCell ref="D5:E5"/>
    <mergeCell ref="H5:I5"/>
    <mergeCell ref="A2:L2"/>
    <mergeCell ref="H6:I6"/>
    <mergeCell ref="J6:K6"/>
    <mergeCell ref="F5:G5"/>
    <mergeCell ref="D7:E7"/>
    <mergeCell ref="H7:I7"/>
    <mergeCell ref="J7:K7"/>
    <mergeCell ref="B6:C6"/>
    <mergeCell ref="B5:C5"/>
    <mergeCell ref="B7:C7"/>
    <mergeCell ref="J5:K5"/>
    <mergeCell ref="B9:K9"/>
    <mergeCell ref="F6:G6"/>
    <mergeCell ref="A3:L3"/>
    <mergeCell ref="F7:G7"/>
    <mergeCell ref="D6:E6"/>
  </mergeCells>
  <conditionalFormatting sqref="C27:C29">
    <cfRule type="dataBar" priority="3">
      <dataBar>
        <cfvo type="min"/>
        <cfvo type="max"/>
        <color rgb="FFC99C66"/>
      </dataBar>
    </cfRule>
  </conditionalFormatting>
  <conditionalFormatting sqref="G13:G16">
    <cfRule type="cellIs" dxfId="1" priority="1" operator="greaterThan">
      <formula>0</formula>
    </cfRule>
    <cfRule type="cellIs" dxfId="0" priority="2" operator="lessThan">
      <formula>0</formula>
    </cfRule>
  </conditionalFormatting>
  <printOptions horizontalCentered="1"/>
  <pageMargins left="0.25" right="0.25" top="0.3" bottom="0.3" header="0.1" footer="0.1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0"/>
  <sheetViews>
    <sheetView showGridLines="0" workbookViewId="0"/>
  </sheetViews>
  <sheetFormatPr defaultRowHeight="14.25" x14ac:dyDescent="0.45"/>
  <cols>
    <col min="1" max="1" width="12" customWidth="1"/>
    <col min="2" max="3" width="14" customWidth="1"/>
    <col min="4" max="5" width="13" customWidth="1"/>
    <col min="6" max="8" width="14" customWidth="1"/>
  </cols>
  <sheetData>
    <row r="1" spans="1:10" ht="14" customHeight="1" x14ac:dyDescent="0.45">
      <c r="A1" s="29" t="s">
        <v>0</v>
      </c>
      <c r="B1" s="23"/>
      <c r="C1" s="23"/>
      <c r="D1" s="23"/>
      <c r="E1" s="23"/>
      <c r="F1" s="23"/>
      <c r="G1" s="23"/>
      <c r="H1" s="23"/>
      <c r="I1" s="1"/>
      <c r="J1" s="1"/>
    </row>
    <row r="2" spans="1:10" ht="28.05" customHeight="1" x14ac:dyDescent="0.45">
      <c r="A2" s="25" t="s">
        <v>40</v>
      </c>
      <c r="B2" s="23"/>
      <c r="C2" s="23"/>
      <c r="D2" s="23"/>
      <c r="E2" s="23"/>
      <c r="F2" s="23"/>
      <c r="G2" s="23"/>
      <c r="H2" s="23"/>
      <c r="I2" s="1"/>
      <c r="J2" s="1"/>
    </row>
    <row r="3" spans="1:10" ht="14" customHeight="1" x14ac:dyDescent="0.45">
      <c r="A3" s="22" t="s">
        <v>41</v>
      </c>
      <c r="B3" s="23"/>
      <c r="C3" s="23"/>
      <c r="D3" s="23"/>
      <c r="E3" s="23"/>
      <c r="F3" s="23"/>
      <c r="G3" s="23"/>
      <c r="H3" s="23"/>
      <c r="I3" s="1"/>
      <c r="J3" s="1"/>
    </row>
    <row r="4" spans="1:10" x14ac:dyDescent="0.45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18" customHeight="1" x14ac:dyDescent="0.45">
      <c r="A5" s="3" t="s">
        <v>42</v>
      </c>
      <c r="B5" s="3" t="s">
        <v>43</v>
      </c>
      <c r="C5" s="3" t="s">
        <v>44</v>
      </c>
      <c r="D5" s="3" t="s">
        <v>45</v>
      </c>
      <c r="E5" s="3" t="s">
        <v>31</v>
      </c>
      <c r="F5" s="3" t="s">
        <v>46</v>
      </c>
      <c r="G5" s="3" t="s">
        <v>47</v>
      </c>
      <c r="H5" s="3" t="s">
        <v>48</v>
      </c>
      <c r="I5" s="1"/>
      <c r="J5" s="1"/>
    </row>
    <row r="6" spans="1:10" x14ac:dyDescent="0.45">
      <c r="A6" s="13" t="s">
        <v>32</v>
      </c>
      <c r="B6" s="14">
        <v>12</v>
      </c>
      <c r="C6" s="14">
        <v>2</v>
      </c>
      <c r="D6" s="14">
        <v>60</v>
      </c>
      <c r="E6" s="14">
        <v>18000</v>
      </c>
      <c r="F6" s="14">
        <v>4200</v>
      </c>
      <c r="G6" s="14">
        <v>9000</v>
      </c>
      <c r="H6" s="14">
        <v>300</v>
      </c>
      <c r="I6" s="1"/>
      <c r="J6" s="1"/>
    </row>
    <row r="7" spans="1:10" x14ac:dyDescent="0.45">
      <c r="A7" s="13" t="s">
        <v>34</v>
      </c>
      <c r="B7" s="14">
        <v>15</v>
      </c>
      <c r="C7" s="14">
        <v>3</v>
      </c>
      <c r="D7" s="14">
        <v>72</v>
      </c>
      <c r="E7" s="14">
        <v>22400</v>
      </c>
      <c r="F7" s="14">
        <v>4800</v>
      </c>
      <c r="G7" s="14">
        <v>9800</v>
      </c>
      <c r="H7" s="14">
        <v>311</v>
      </c>
      <c r="I7" s="1"/>
      <c r="J7" s="1"/>
    </row>
    <row r="8" spans="1:10" x14ac:dyDescent="0.45">
      <c r="A8" s="13" t="s">
        <v>36</v>
      </c>
      <c r="B8" s="14">
        <v>18</v>
      </c>
      <c r="C8" s="14">
        <v>4</v>
      </c>
      <c r="D8" s="14">
        <v>86</v>
      </c>
      <c r="E8" s="14">
        <v>27200</v>
      </c>
      <c r="F8" s="14">
        <v>5200</v>
      </c>
      <c r="G8" s="14">
        <v>10500</v>
      </c>
      <c r="H8" s="14">
        <v>316</v>
      </c>
      <c r="I8" s="1"/>
      <c r="J8" s="1"/>
    </row>
    <row r="9" spans="1:10" x14ac:dyDescent="0.45">
      <c r="A9" s="13" t="s">
        <v>37</v>
      </c>
      <c r="B9" s="14">
        <v>14</v>
      </c>
      <c r="C9" s="14">
        <v>5</v>
      </c>
      <c r="D9" s="14">
        <v>95</v>
      </c>
      <c r="E9" s="14">
        <v>30100</v>
      </c>
      <c r="F9" s="14">
        <v>5000</v>
      </c>
      <c r="G9" s="14">
        <v>11000</v>
      </c>
      <c r="H9" s="14">
        <v>317</v>
      </c>
      <c r="I9" s="1"/>
      <c r="J9" s="1"/>
    </row>
    <row r="10" spans="1:10" x14ac:dyDescent="0.45">
      <c r="A10" s="13" t="s">
        <v>38</v>
      </c>
      <c r="B10" s="14">
        <v>20</v>
      </c>
      <c r="C10" s="14">
        <v>4</v>
      </c>
      <c r="D10" s="14">
        <v>111</v>
      </c>
      <c r="E10" s="14">
        <v>35600</v>
      </c>
      <c r="F10" s="14">
        <v>6100</v>
      </c>
      <c r="G10" s="14">
        <v>12000</v>
      </c>
      <c r="H10" s="14">
        <v>321</v>
      </c>
      <c r="I10" s="1"/>
      <c r="J10" s="1"/>
    </row>
    <row r="11" spans="1:10" x14ac:dyDescent="0.45">
      <c r="A11" s="13" t="s">
        <v>39</v>
      </c>
      <c r="B11" s="14">
        <v>22</v>
      </c>
      <c r="C11" s="14">
        <v>6</v>
      </c>
      <c r="D11" s="14">
        <v>127</v>
      </c>
      <c r="E11" s="14">
        <v>41200</v>
      </c>
      <c r="F11" s="14">
        <v>6800</v>
      </c>
      <c r="G11" s="14">
        <v>12800</v>
      </c>
      <c r="H11" s="14">
        <v>324</v>
      </c>
      <c r="I11" s="1"/>
      <c r="J11" s="1"/>
    </row>
    <row r="12" spans="1:10" x14ac:dyDescent="0.45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 x14ac:dyDescent="0.45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 x14ac:dyDescent="0.45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 x14ac:dyDescent="0.45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0" x14ac:dyDescent="0.45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 x14ac:dyDescent="0.4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 x14ac:dyDescent="0.45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 x14ac:dyDescent="0.45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 x14ac:dyDescent="0.45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 x14ac:dyDescent="0.45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 x14ac:dyDescent="0.45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 x14ac:dyDescent="0.45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 x14ac:dyDescent="0.45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 x14ac:dyDescent="0.45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 x14ac:dyDescent="0.45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 x14ac:dyDescent="0.45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0" x14ac:dyDescent="0.45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spans="1:10" x14ac:dyDescent="0.45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0" x14ac:dyDescent="0.45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0" x14ac:dyDescent="0.45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0" x14ac:dyDescent="0.45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spans="1:10" x14ac:dyDescent="0.45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 x14ac:dyDescent="0.45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 x14ac:dyDescent="0.45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 x14ac:dyDescent="0.45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 x14ac:dyDescent="0.45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 x14ac:dyDescent="0.45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spans="1:10" x14ac:dyDescent="0.45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0" x14ac:dyDescent="0.45">
      <c r="A40" s="1"/>
      <c r="B40" s="1"/>
      <c r="C40" s="1"/>
      <c r="D40" s="1"/>
      <c r="E40" s="1"/>
      <c r="F40" s="1"/>
      <c r="G40" s="1"/>
      <c r="H40" s="1"/>
      <c r="I40" s="1"/>
      <c r="J40" s="1"/>
    </row>
  </sheetData>
  <mergeCells count="3">
    <mergeCell ref="A3:H3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DASHBOARD</vt:lpstr>
      <vt:lpstr>DADOS_MENSAIS</vt:lpstr>
      <vt:lpstr>DASHBOARD!Area_de_impressao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FLAVIO RINALDI</cp:lastModifiedBy>
  <dcterms:created xsi:type="dcterms:W3CDTF">2026-07-22T20:17:03Z</dcterms:created>
  <dcterms:modified xsi:type="dcterms:W3CDTF">2026-08-04T00:50:08Z</dcterms:modified>
</cp:coreProperties>
</file>