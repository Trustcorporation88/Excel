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DADOS_MENSAIS" sheetId="2" state="visible" r:id="rId4"/>
  </sheets>
  <definedNames>
    <definedName function="false" hidden="false" localSheetId="0" name="_xlnm.Print_Area" vbProcedure="false">DASHBOARD!$A$1:$L$42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<sst xmlns="http://schemas.openxmlformats.org/spreadsheetml/2006/main" count="69" uniqueCount="59">
  <si>
    <t xml:space="preserve">TRUST EXCEL  ·  TRUST CORPORATION</t>
  </si>
  <si>
    <t xml:space="preserve">BI Executivo do Negócio</t>
  </si>
  <si>
    <t xml:space="preserve">MRR · crescimento · churn · CAC · LTV · eficiência</t>
  </si>
  <si>
    <t xml:space="preserve">MRR ATUAL</t>
  </si>
  <si>
    <t xml:space="preserve">CRESCIMENTO M/M</t>
  </si>
  <si>
    <t xml:space="preserve">CHURN</t>
  </si>
  <si>
    <t xml:space="preserve">CAC</t>
  </si>
  <si>
    <t xml:space="preserve">LTV / CAC</t>
  </si>
  <si>
    <t xml:space="preserve">custo p/ adquirir</t>
  </si>
  <si>
    <t xml:space="preserve">saudável ≥ 3x</t>
  </si>
  <si>
    <t xml:space="preserve">CLIENTES ATIVOS</t>
  </si>
  <si>
    <t xml:space="preserve">LTV</t>
  </si>
  <si>
    <t xml:space="preserve">LUCRO OPER. (mês)</t>
  </si>
  <si>
    <t xml:space="preserve">EVOLUÇÃO DO MRR</t>
  </si>
  <si>
    <t xml:space="preserve">NOVOS x CANCELADOS</t>
  </si>
  <si>
    <t xml:space="preserve">Cascata do MRR (mês)</t>
  </si>
  <si>
    <t xml:space="preserve">Spark · MRR 7 meses</t>
  </si>
  <si>
    <t xml:space="preserve">Etapa</t>
  </si>
  <si>
    <t xml:space="preserve">Base</t>
  </si>
  <si>
    <t xml:space="preserve">Alta</t>
  </si>
  <si>
    <t xml:space="preserve">Baixa</t>
  </si>
  <si>
    <t xml:space="preserve">Total</t>
  </si>
  <si>
    <t xml:space="preserve">Δ</t>
  </si>
  <si>
    <t xml:space="preserve">Ponto</t>
  </si>
  <si>
    <t xml:space="preserve">Valor</t>
  </si>
  <si>
    <t xml:space="preserve">Spark</t>
  </si>
  <si>
    <t xml:space="preserve">MRR anterior</t>
  </si>
  <si>
    <t xml:space="preserve">Jan</t>
  </si>
  <si>
    <t xml:space="preserve">+ Expansão/novos</t>
  </si>
  <si>
    <t xml:space="preserve">Fev</t>
  </si>
  <si>
    <t xml:space="preserve">− Contração</t>
  </si>
  <si>
    <t xml:space="preserve">Mar</t>
  </si>
  <si>
    <t xml:space="preserve">MRR atual</t>
  </si>
  <si>
    <t xml:space="preserve">Abr</t>
  </si>
  <si>
    <t xml:space="preserve">Mai</t>
  </si>
  <si>
    <t xml:space="preserve">Jun</t>
  </si>
  <si>
    <t xml:space="preserve">Jul</t>
  </si>
  <si>
    <t xml:space="preserve">MINI-SPARKLINES</t>
  </si>
  <si>
    <t xml:space="preserve">Indicador</t>
  </si>
  <si>
    <t xml:space="preserve">Atual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</si>
  <si>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</si>
  <si>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</si>
  <si>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</si>
  <si>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</si>
  <si>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</si>
  <si>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</si>
  <si>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MRR</t>
  </si>
  <si>
    <t xml:space="preserve">Churn %</t>
  </si>
  <si>
    <t xml:space="preserve">LTV/CAC</t>
  </si>
  <si>
    <t xml:space="preserve">Dados Mensais</t>
  </si>
  <si>
    <t xml:space="preserve">Preencha 8 números por mês — o BI monta os indicadores</t>
  </si>
  <si>
    <t xml:space="preserve">Mês</t>
  </si>
  <si>
    <t xml:space="preserve">Novos clientes</t>
  </si>
  <si>
    <t xml:space="preserve">Cancelados</t>
  </si>
  <si>
    <t xml:space="preserve">Clientes ativos</t>
  </si>
  <si>
    <t xml:space="preserve">Receita (MRR)</t>
  </si>
  <si>
    <t xml:space="preserve">Invest. Mkt/Vendas</t>
  </si>
  <si>
    <t xml:space="preserve">Custo operacional</t>
  </si>
  <si>
    <t xml:space="preserve">Ticket médio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</si>
</sst>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R$ &quot;#,##0"/>
    <numFmt numFmtId="166" formatCode="0.0%"/>
    <numFmt numFmtId="167" formatCode="0.0\x"/>
    <numFmt numFmtId="168" formatCode="0"/>
    <numFmt numFmtId="169" formatCode="#,##0;\(#,##0\);\—"/>
    <numFmt numFmtId="170" formatCode="#,##0.0;\(#,##0.0\);\—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99C66"/>
      <name val="Aptos Narrow"/>
      <family val="0"/>
      <charset val="1"/>
    </font>
    <font>
      <b val="true"/>
      <sz val="20"/>
      <color rgb="FFF3ECDD"/>
      <name val="Aptos Narrow"/>
      <family val="0"/>
      <charset val="1"/>
    </font>
    <font>
      <i val="true"/>
      <sz val="10"/>
      <color rgb="FF8A9691"/>
      <name val="Aptos Narrow"/>
      <family val="0"/>
      <charset val="1"/>
    </font>
    <font>
      <b val="true"/>
      <sz val="8"/>
      <color rgb="FF8A9691"/>
      <name val="Aptos Narrow"/>
      <family val="0"/>
      <charset val="1"/>
    </font>
    <font>
      <b val="true"/>
      <sz val="20"/>
      <color rgb="FFC99C66"/>
      <name val="Aptos Narrow"/>
      <family val="0"/>
      <charset val="1"/>
    </font>
    <font>
      <b val="true"/>
      <sz val="20"/>
      <color rgb="FF43D07F"/>
      <name val="Aptos Narrow"/>
      <family val="0"/>
      <charset val="1"/>
    </font>
    <font>
      <b val="true"/>
      <sz val="20"/>
      <color rgb="FFD9534F"/>
      <name val="Aptos Narrow"/>
      <family val="0"/>
      <charset val="1"/>
    </font>
    <font>
      <b val="true"/>
      <sz val="20"/>
      <color rgb="FFE0A94B"/>
      <name val="Aptos Narrow"/>
      <family val="0"/>
      <charset val="1"/>
    </font>
    <font>
      <i val="true"/>
      <sz val="7"/>
      <color rgb="FF8A9691"/>
      <name val="Aptos Narrow"/>
      <family val="0"/>
      <charset val="1"/>
    </font>
    <font>
      <i val="true"/>
      <sz val="10"/>
      <color rgb="FFF3ECDD"/>
      <name val="Aptos Narrow"/>
      <family val="0"/>
      <charset val="1"/>
    </font>
    <font>
      <b val="true"/>
      <sz val="10"/>
      <color rgb="FFC99C66"/>
      <name val="Aptos Narrow"/>
      <family val="0"/>
      <charset val="1"/>
    </font>
    <font>
      <b val="true"/>
      <sz val="9"/>
      <color rgb="FFF3ECDD"/>
      <name val="Aptos Narrow"/>
      <family val="0"/>
      <charset val="1"/>
    </font>
    <font>
      <sz val="9"/>
      <color rgb="FFF3ECDD"/>
      <name val="Aptos Narrow"/>
      <family val="0"/>
      <charset val="1"/>
    </font>
    <font>
      <sz val="8"/>
      <color rgb="FF8A9691"/>
      <name val="Aptos Narrow"/>
      <family val="0"/>
      <charset val="1"/>
    </font>
    <font>
      <sz val="8"/>
      <color rgb="FFC99C66"/>
      <name val="Aptos Narrow"/>
      <family val="0"/>
      <charset val="1"/>
    </font>
    <font>
      <sz val="8"/>
      <color rgb="FF43D07F"/>
      <name val="Aptos Narrow"/>
      <family val="0"/>
      <charset val="1"/>
    </font>
    <font>
      <sz val="7"/>
      <color rgb="FF8A9691"/>
      <name val="Aptos Narrow"/>
      <family val="0"/>
      <charset val="1"/>
    </font>
    <font>
      <sz val="11"/>
      <color rgb="FF43D07F"/>
      <name val="Aptos Narrow"/>
      <family val="0"/>
      <charset val="1"/>
    </font>
    <font>
      <sz val="9"/>
      <color rgb="FF0E1512"/>
      <name val="Aptos Narrow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F3ECDD"/>
      <name val="Aptos Narrow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E1512"/>
        <bgColor rgb="FF14211B"/>
      </patternFill>
    </fill>
    <fill>
      <patternFill patternType="solid">
        <fgColor rgb="FF1B2C24"/>
        <bgColor rgb="FF1F3329"/>
      </patternFill>
    </fill>
    <fill>
      <patternFill patternType="solid">
        <fgColor rgb="FF1F3329"/>
        <bgColor rgb="FF24382E"/>
      </patternFill>
    </fill>
    <fill>
      <patternFill patternType="solid">
        <fgColor rgb="FF14211B"/>
        <bgColor rgb="FF1B2C24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24382E"/>
      </left>
      <right style="thin">
        <color rgb="FF24382E"/>
      </right>
      <top style="thin">
        <color rgb="FFC99C66"/>
      </top>
      <bottom style="thin">
        <color rgb="FF24382E"/>
      </bottom>
      <diagonal/>
    </border>
    <border diagonalUp="false" diagonalDown="false">
      <left style="thin">
        <color rgb="FF24382E"/>
      </left>
      <right style="thin">
        <color rgb="FF24382E"/>
      </right>
      <top style="thin">
        <color rgb="FF24382E"/>
      </top>
      <bottom style="thin">
        <color rgb="FF24382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5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0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ptos Narrow"/>
        <charset val="1"/>
        <family val="0"/>
        <b val="1"/>
        <color rgb="FF43D07F"/>
        <sz val="9"/>
      </font>
    </dxf>
    <dxf>
      <font>
        <name val="Aptos Narrow"/>
        <charset val="1"/>
        <family val="0"/>
        <b val="1"/>
        <color rgb="FFD9534F"/>
        <sz val="9"/>
      </font>
    </dxf>
  </dxfs>
  <colors>
    <indexedColors>
      <rgbColor rgb="FF000000"/>
      <rgbColor rgb="FFF9F9F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E1512"/>
      <rgbColor rgb="FF808000"/>
      <rgbColor rgb="FF800080"/>
      <rgbColor rgb="FF008080"/>
      <rgbColor rgb="FFC0C0C0"/>
      <rgbColor rgb="FF878787"/>
      <rgbColor rgb="FF9999FF"/>
      <rgbColor rgb="FFC0504D"/>
      <rgbColor rgb="FFF3ECDD"/>
      <rgbColor rgb="FFCCFFFF"/>
      <rgbColor rgb="FF660066"/>
      <rgbColor rgb="FFC99C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43D07F"/>
      <rgbColor rgb="FF99CC00"/>
      <rgbColor rgb="FFFFCC00"/>
      <rgbColor rgb="FFE0A94B"/>
      <rgbColor rgb="FFD9534F"/>
      <rgbColor rgb="FF4A7EBB"/>
      <rgbColor rgb="FF8A9691"/>
      <rgbColor rgb="FF14211B"/>
      <rgbColor rgb="FF2E9E5B"/>
      <rgbColor rgb="FF1B2C24"/>
      <rgbColor rgb="FF1F3329"/>
      <rgbColor rgb="FF993300"/>
      <rgbColor rgb="FF993366"/>
      <rgbColor rgb="FF333399"/>
      <rgbColor rgb="FF2438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DejaVu Sans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MRR por mês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DADOS_MENSAIS!E5</c:f>
              <c:strCache>
                <c:ptCount val="1"/>
                <c:pt idx="0">
                  <c:v>Receita (MRR)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DADOS_MENSAIS!$A$6:$A$12</c:f>
              <c:strCache>
                <c:ptCount val="7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</c:strCache>
            </c:strRef>
          </c:cat>
          <c:val>
            <c:numRef>
              <c:f>DADOS_MENSAIS!$E$6:$E$12</c:f>
              <c:numCache>
                <c:formatCode>"R$ "#,##0</c:formatCode>
                <c:ptCount val="7"/>
                <c:pt idx="0">
                  <c:v>18000</c:v>
                </c:pt>
                <c:pt idx="1">
                  <c:v>22400</c:v>
                </c:pt>
                <c:pt idx="2">
                  <c:v>27200</c:v>
                </c:pt>
                <c:pt idx="3">
                  <c:v>30100</c:v>
                </c:pt>
                <c:pt idx="4">
                  <c:v>35600</c:v>
                </c:pt>
                <c:pt idx="5">
                  <c:v>41200</c:v>
                </c:pt>
                <c:pt idx="6">
                  <c:v>47500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1905145"/>
        <c:axId val="43210875"/>
      </c:lineChart>
      <c:catAx>
        <c:axId val="9190514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3210875"/>
        <c:crosses val="autoZero"/>
        <c:auto val="1"/>
        <c:lblAlgn val="ctr"/>
        <c:lblOffset val="100"/>
        <c:noMultiLvlLbl val="0"/>
      </c:catAx>
      <c:valAx>
        <c:axId val="432108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R$ &quot;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190514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DejaVu Sans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Aquisição x churn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DADOS_MENSAIS!B5</c:f>
              <c:strCache>
                <c:ptCount val="1"/>
                <c:pt idx="0">
                  <c:v>Novos clientes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DADOS_MENSAIS!$A$6:$A$12</c:f>
              <c:strCache>
                <c:ptCount val="7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</c:strCache>
            </c:strRef>
          </c:cat>
          <c:val>
            <c:numRef>
              <c:f>DADOS_MENSAIS!$B$6:$B$12</c:f>
              <c:numCache>
                <c:formatCode>0</c:formatCode>
                <c:ptCount val="7"/>
                <c:pt idx="0">
                  <c:v>12</c:v>
                </c:pt>
                <c:pt idx="1">
                  <c:v>15</c:v>
                </c:pt>
                <c:pt idx="2">
                  <c:v>18</c:v>
                </c:pt>
                <c:pt idx="3">
                  <c:v>14</c:v>
                </c:pt>
                <c:pt idx="4">
                  <c:v>20</c:v>
                </c:pt>
                <c:pt idx="5">
                  <c:v>22</c:v>
                </c:pt>
                <c:pt idx="6">
                  <c:v>25</c:v>
                </c:pt>
              </c:numCache>
            </c:numRef>
          </c:val>
        </c:ser>
        <c:ser>
          <c:idx val="1"/>
          <c:order val="1"/>
          <c:tx>
            <c:strRef>
              <c:f>DADOS_MENSAIS!C5</c:f>
              <c:strCache>
                <c:ptCount val="1"/>
                <c:pt idx="0">
                  <c:v>Cancelados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DADOS_MENSAIS!$A$6:$A$12</c:f>
              <c:strCache>
                <c:ptCount val="7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</c:strCache>
            </c:strRef>
          </c:cat>
          <c:val>
            <c:numRef>
              <c:f>DADOS_MENSAIS!$C$6:$C$12</c:f>
              <c:numCache>
                <c:formatCode>0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4</c:v>
                </c:pt>
                <c:pt idx="5">
                  <c:v>6</c:v>
                </c:pt>
                <c:pt idx="6">
                  <c:v>5</c:v>
                </c:pt>
              </c:numCache>
            </c:numRef>
          </c:val>
        </c:ser>
        <c:gapWidth val="150"/>
        <c:overlap val="0"/>
        <c:axId val="22131042"/>
        <c:axId val="19162073"/>
      </c:barChart>
      <c:catAx>
        <c:axId val="221310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9162073"/>
        <c:crosses val="autoZero"/>
        <c:auto val="1"/>
        <c:lblAlgn val="ctr"/>
        <c:lblOffset val="100"/>
        <c:noMultiLvlLbl val="0"/>
      </c:catAx>
      <c:valAx>
        <c:axId val="191620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213104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DejaVu Sans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Cascata · MRR bridge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DASHBOARD!C29</c:f>
              <c:strCache>
                <c:ptCount val="1"/>
                <c:pt idx="0">
                  <c:v>Base</c:v>
                </c:pt>
              </c:strCache>
            </c:strRef>
          </c:tx>
          <c:spPr>
            <a:noFill/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DASHBOARD!$B$30:$B$33</c:f>
              <c:strCache>
                <c:ptCount val="4"/>
                <c:pt idx="0">
                  <c:v>MRR anterior</c:v>
                </c:pt>
                <c:pt idx="1">
                  <c:v>+ Expansão/novos</c:v>
                </c:pt>
                <c:pt idx="2">
                  <c:v>− Contração</c:v>
                </c:pt>
                <c:pt idx="3">
                  <c:v>MRR atual</c:v>
                </c:pt>
              </c:strCache>
            </c:strRef>
          </c:cat>
          <c:val>
            <c:numRef>
              <c:f>DASHBOARD!$C$30:$C$33</c:f>
              <c:numCache>
                <c:formatCode>#,##0;\(#,##0\);\—</c:formatCode>
                <c:ptCount val="4"/>
                <c:pt idx="0">
                  <c:v>0</c:v>
                </c:pt>
                <c:pt idx="1">
                  <c:v>41200</c:v>
                </c:pt>
                <c:pt idx="2">
                  <c:v>47500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DASHBOARD!D29</c:f>
              <c:strCache>
                <c:ptCount val="1"/>
                <c:pt idx="0">
                  <c:v>Alta</c:v>
                </c:pt>
              </c:strCache>
            </c:strRef>
          </c:tx>
          <c:spPr>
            <a:solidFill>
              <a:srgbClr val="2e9e5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DASHBOARD!$B$30:$B$33</c:f>
              <c:strCache>
                <c:ptCount val="4"/>
                <c:pt idx="0">
                  <c:v>MRR anterior</c:v>
                </c:pt>
                <c:pt idx="1">
                  <c:v>+ Expansão/novos</c:v>
                </c:pt>
                <c:pt idx="2">
                  <c:v>− Contração</c:v>
                </c:pt>
                <c:pt idx="3">
                  <c:v>MRR atual</c:v>
                </c:pt>
              </c:strCache>
            </c:strRef>
          </c:cat>
          <c:val>
            <c:numRef>
              <c:f>DASHBOARD!$D$30:$D$33</c:f>
              <c:numCache>
                <c:formatCode>#,##0;\(#,##0\);\—</c:formatCode>
                <c:ptCount val="4"/>
                <c:pt idx="0">
                  <c:v>41200</c:v>
                </c:pt>
                <c:pt idx="1">
                  <c:v>6300</c:v>
                </c:pt>
                <c:pt idx="2">
                  <c:v>0</c:v>
                </c:pt>
                <c:pt idx="3">
                  <c:v>47500</c:v>
                </c:pt>
              </c:numCache>
            </c:numRef>
          </c:val>
        </c:ser>
        <c:ser>
          <c:idx val="2"/>
          <c:order val="2"/>
          <c:tx>
            <c:strRef>
              <c:f>DASHBOARD!E29</c:f>
              <c:strCache>
                <c:ptCount val="1"/>
                <c:pt idx="0">
                  <c:v>Baixa</c:v>
                </c:pt>
              </c:strCache>
            </c:strRef>
          </c:tx>
          <c:spPr>
            <a:solidFill>
              <a:srgbClr val="d9534f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DASHBOARD!$B$30:$B$33</c:f>
              <c:strCache>
                <c:ptCount val="4"/>
                <c:pt idx="0">
                  <c:v>MRR anterior</c:v>
                </c:pt>
                <c:pt idx="1">
                  <c:v>+ Expansão/novos</c:v>
                </c:pt>
                <c:pt idx="2">
                  <c:v>− Contração</c:v>
                </c:pt>
                <c:pt idx="3">
                  <c:v>MRR atual</c:v>
                </c:pt>
              </c:strCache>
            </c:strRef>
          </c:cat>
          <c:val>
            <c:numRef>
              <c:f>DASHBOARD!$E$30:$E$33</c:f>
              <c:numCache>
                <c:formatCode>#,##0;\(#,##0\);\—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100"/>
        <c:axId val="73872917"/>
        <c:axId val="36485156"/>
      </c:barChart>
      <c:catAx>
        <c:axId val="738729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485156"/>
        <c:crosses val="autoZero"/>
        <c:auto val="1"/>
        <c:lblAlgn val="ctr"/>
        <c:lblOffset val="100"/>
        <c:noMultiLvlLbl val="0"/>
      </c:catAx>
      <c:valAx>
        <c:axId val="364851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—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387291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DASHBOARD!O29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c99c66"/>
            </a:solidFill>
            <a:ln w="15120">
              <a:solidFill>
                <a:srgbClr val="c99c6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512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DASHBOARD!$N$30:$N$36</c:f>
              <c:strCache>
                <c:ptCount val="7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</c:strCache>
            </c:strRef>
          </c:cat>
          <c:val>
            <c:numRef>
              <c:f>DASHBOARD!$O$30:$O$36</c:f>
              <c:numCache>
                <c:formatCode>#,##0.0;\(#,##0.0\);\—</c:formatCode>
                <c:ptCount val="7"/>
                <c:pt idx="0">
                  <c:v>18000</c:v>
                </c:pt>
                <c:pt idx="1">
                  <c:v>22400</c:v>
                </c:pt>
                <c:pt idx="2">
                  <c:v>27200</c:v>
                </c:pt>
                <c:pt idx="3">
                  <c:v>30100</c:v>
                </c:pt>
                <c:pt idx="4">
                  <c:v>35600</c:v>
                </c:pt>
                <c:pt idx="5">
                  <c:v>41200</c:v>
                </c:pt>
                <c:pt idx="6">
                  <c:v>47500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1218749"/>
        <c:axId val="35538428"/>
      </c:lineChart>
      <c:catAx>
        <c:axId val="512187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5538428"/>
        <c:crosses val="autoZero"/>
        <c:auto val="1"/>
        <c:lblAlgn val="ctr"/>
        <c:lblOffset val="100"/>
        <c:noMultiLvlLbl val="0"/>
      </c:catAx>
      <c:valAx>
        <c:axId val="35538428"/>
        <c:scaling>
          <c:orientation val="minMax"/>
        </c:scaling>
        <c:delete val="0"/>
        <c:axPos val="l"/>
        <c:numFmt formatCode="#,##0.0;\(#,##0.0\);\—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121874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</xdr:row>
      <xdr:rowOff>0</xdr:rowOff>
    </xdr:from>
    <xdr:to>
      <xdr:col>4</xdr:col>
      <xdr:colOff>412200</xdr:colOff>
      <xdr:row>29</xdr:row>
      <xdr:rowOff>79200</xdr:rowOff>
    </xdr:to>
    <xdr:graphicFrame>
      <xdr:nvGraphicFramePr>
        <xdr:cNvPr id="0" name="Chart 1"/>
        <xdr:cNvGraphicFramePr/>
      </xdr:nvGraphicFramePr>
      <xdr:xfrm>
        <a:off x="195480" y="3571920"/>
        <a:ext cx="46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15</xdr:row>
      <xdr:rowOff>0</xdr:rowOff>
    </xdr:from>
    <xdr:to>
      <xdr:col>8</xdr:col>
      <xdr:colOff>1114920</xdr:colOff>
      <xdr:row>29</xdr:row>
      <xdr:rowOff>79200</xdr:rowOff>
    </xdr:to>
    <xdr:graphicFrame>
      <xdr:nvGraphicFramePr>
        <xdr:cNvPr id="1" name="Chart 2"/>
        <xdr:cNvGraphicFramePr/>
      </xdr:nvGraphicFramePr>
      <xdr:xfrm>
        <a:off x="7307640" y="357192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27</xdr:row>
      <xdr:rowOff>0</xdr:rowOff>
    </xdr:from>
    <xdr:to>
      <xdr:col>10</xdr:col>
      <xdr:colOff>52560</xdr:colOff>
      <xdr:row>38</xdr:row>
      <xdr:rowOff>110880</xdr:rowOff>
    </xdr:to>
    <xdr:graphicFrame>
      <xdr:nvGraphicFramePr>
        <xdr:cNvPr id="2" name="Chart 3"/>
        <xdr:cNvGraphicFramePr/>
      </xdr:nvGraphicFramePr>
      <xdr:xfrm>
        <a:off x="8730000" y="5857920"/>
        <a:ext cx="431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37</xdr:row>
      <xdr:rowOff>0</xdr:rowOff>
    </xdr:from>
    <xdr:to>
      <xdr:col>9</xdr:col>
      <xdr:colOff>754920</xdr:colOff>
      <xdr:row>43</xdr:row>
      <xdr:rowOff>163440</xdr:rowOff>
    </xdr:to>
    <xdr:graphicFrame>
      <xdr:nvGraphicFramePr>
        <xdr:cNvPr id="3" name="Chart 4"/>
        <xdr:cNvGraphicFramePr/>
      </xdr:nvGraphicFramePr>
      <xdr:xfrm>
        <a:off x="8730000" y="7896240"/>
        <a:ext cx="3599640" cy="14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2.2"/>
    <col collapsed="false" customWidth="true" hidden="false" outlineLevel="0" max="11" min="2" style="0" width="16"/>
    <col collapsed="false" customWidth="true" hidden="false" outlineLevel="0" max="12" min="12" style="0" width="3"/>
    <col collapsed="false" customWidth="true" hidden="true" outlineLevel="0" max="26" min="26" style="0" width="13"/>
  </cols>
  <sheetData>
    <row r="1" customFormat="false" ht="15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8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customFormat="false" ht="13.5" hidden="false" customHeight="true" outlineLevel="0" collapsed="false">
      <c r="A5" s="4"/>
      <c r="B5" s="5" t="s">
        <v>3</v>
      </c>
      <c r="C5" s="5"/>
      <c r="D5" s="5" t="s">
        <v>4</v>
      </c>
      <c r="E5" s="5"/>
      <c r="F5" s="5" t="s">
        <v>5</v>
      </c>
      <c r="G5" s="5"/>
      <c r="H5" s="5" t="s">
        <v>6</v>
      </c>
      <c r="I5" s="5"/>
      <c r="J5" s="5" t="s">
        <v>7</v>
      </c>
      <c r="K5" s="5"/>
      <c r="L5" s="4"/>
    </row>
    <row r="6" customFormat="false" ht="30" hidden="false" customHeight="true" outlineLevel="0" collapsed="false">
      <c r="A6" s="4"/>
      <c r="B6" s="6" t="n">
        <f aca="false">Z40</f>
        <v>47500</v>
      </c>
      <c r="C6" s="6"/>
      <c r="D6" s="7" t="n">
        <f aca="false">Z41</f>
        <v>0.152912621359223</v>
      </c>
      <c r="E6" s="7"/>
      <c r="F6" s="8" t="n">
        <f aca="false">Z42</f>
        <v>0.0393700787401575</v>
      </c>
      <c r="G6" s="8"/>
      <c r="H6" s="9" t="n">
        <f aca="false">Z43</f>
        <v>288</v>
      </c>
      <c r="I6" s="9"/>
      <c r="J6" s="10" t="n">
        <f aca="false">Z45</f>
        <v>28.4868055555556</v>
      </c>
      <c r="K6" s="10"/>
      <c r="L6" s="4"/>
    </row>
    <row r="7" customFormat="false" ht="12" hidden="false" customHeight="true" outlineLevel="0" collapsed="false">
      <c r="A7" s="4"/>
      <c r="B7" s="11"/>
      <c r="C7" s="11"/>
      <c r="D7" s="11"/>
      <c r="E7" s="11"/>
      <c r="F7" s="11"/>
      <c r="G7" s="11"/>
      <c r="H7" s="11" t="s">
        <v>8</v>
      </c>
      <c r="I7" s="11"/>
      <c r="J7" s="11" t="s">
        <v>9</v>
      </c>
      <c r="K7" s="11"/>
      <c r="L7" s="4"/>
    </row>
    <row r="8" customFormat="false" ht="15" hidden="false" customHeight="false" outlineLevel="0" collapsed="false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</row>
    <row r="9" customFormat="false" ht="13.5" hidden="false" customHeight="true" outlineLevel="0" collapsed="false">
      <c r="A9" s="4"/>
      <c r="B9" s="5" t="s">
        <v>10</v>
      </c>
      <c r="C9" s="5"/>
      <c r="D9" s="5" t="s">
        <v>11</v>
      </c>
      <c r="E9" s="5"/>
      <c r="F9" s="5" t="s">
        <v>12</v>
      </c>
      <c r="G9" s="5"/>
      <c r="H9" s="4"/>
      <c r="I9" s="4"/>
      <c r="J9" s="4"/>
      <c r="K9" s="4"/>
      <c r="L9" s="4"/>
    </row>
    <row r="10" customFormat="false" ht="30" hidden="false" customHeight="true" outlineLevel="0" collapsed="false">
      <c r="A10" s="4"/>
      <c r="B10" s="12" t="n">
        <f aca="false">Z46</f>
        <v>147</v>
      </c>
      <c r="C10" s="12"/>
      <c r="D10" s="13" t="n">
        <f aca="false">Z44</f>
        <v>8204.2</v>
      </c>
      <c r="E10" s="13"/>
      <c r="F10" s="13" t="n">
        <f aca="false">Z47</f>
        <v>26800</v>
      </c>
      <c r="G10" s="13"/>
      <c r="H10" s="4"/>
      <c r="I10" s="4"/>
      <c r="J10" s="4"/>
      <c r="K10" s="4"/>
      <c r="L10" s="4"/>
    </row>
    <row r="11" customFormat="false" ht="12" hidden="false" customHeight="true" outlineLevel="0" collapsed="false">
      <c r="A11" s="4"/>
      <c r="B11" s="11"/>
      <c r="C11" s="11"/>
      <c r="D11" s="11"/>
      <c r="E11" s="11"/>
      <c r="F11" s="11"/>
      <c r="G11" s="11"/>
      <c r="H11" s="4"/>
      <c r="I11" s="4"/>
      <c r="J11" s="4"/>
      <c r="K11" s="4"/>
      <c r="L11" s="4"/>
    </row>
    <row r="12" customFormat="false" ht="15" hidden="false" customHeight="false" outlineLevel="0" collapsed="false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customFormat="false" ht="31.5" hidden="false" customHeight="true" outlineLevel="0" collapsed="false">
      <c r="A13" s="4"/>
      <c r="B13" s="14" t="str">
        <f aca="false">CONCATENATE("Leitura executiva: MRR de ",TEXT(Z40,"R$ #,##0")," (",TEXT(Z41,"+0.0%;-0.0%")," no mês). LTV/CAC de ",TEXT(Z45,"0.0"),"x e churn de ",TEXT(Z42,"0.0%"),". ",IF(Z45&gt;=3,"Motor de aquisição saudável — pise no acelerador.",IF(Z45&gt;=1,"Aquisição no limite — otimize CAC ou retenção.","Aquisição no vermelho — reduza CAC antes de escalar.")))</f>
        <v>Leitura executiva: MRR de R$ 47,500 (+15.3% no mês). LTV/CAC de 28.5x e churn de 3.9%. Motor de aquisição saudável — pise no acelerador.</v>
      </c>
      <c r="C13" s="14"/>
      <c r="D13" s="14"/>
      <c r="E13" s="14"/>
      <c r="F13" s="14"/>
      <c r="G13" s="14"/>
      <c r="H13" s="14"/>
      <c r="I13" s="14"/>
      <c r="J13" s="14"/>
      <c r="K13" s="14"/>
      <c r="L13" s="4"/>
    </row>
    <row r="14" customFormat="false" ht="15" hidden="false" customHeight="false" outlineLevel="0" collapsed="false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customFormat="false" ht="15" hidden="false" customHeight="false" outlineLevel="0" collapsed="false">
      <c r="A15" s="4"/>
      <c r="B15" s="15" t="s">
        <v>13</v>
      </c>
      <c r="C15" s="4"/>
      <c r="D15" s="4"/>
      <c r="E15" s="4"/>
      <c r="F15" s="4"/>
      <c r="G15" s="15" t="s">
        <v>14</v>
      </c>
      <c r="H15" s="4"/>
      <c r="I15" s="4"/>
      <c r="J15" s="4"/>
      <c r="K15" s="4"/>
      <c r="L15" s="4"/>
    </row>
    <row r="16" customFormat="false" ht="15" hidden="false" customHeight="false" outlineLevel="0" collapsed="false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customFormat="false" ht="15" hidden="false" customHeight="false" outlineLevel="0" collapsed="false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customFormat="false" ht="15" hidden="false" customHeight="false" outlineLevel="0" collapsed="false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</row>
    <row r="19" customFormat="false" ht="15" hidden="false" customHeight="false" outlineLevel="0" collapsed="false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  <row r="20" customFormat="false" ht="15" hidden="false" customHeight="false" outlineLevel="0" collapsed="false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customFormat="false" ht="15" hidden="false" customHeight="false" outlineLevel="0" collapsed="false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customFormat="false" ht="15" hidden="false" customHeight="false" outlineLevel="0" collapsed="false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customFormat="false" ht="15" hidden="false" customHeight="false" outlineLevel="0" collapsed="false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customFormat="false" ht="15" hidden="false" customHeight="false" outlineLevel="0" collapsed="false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</row>
    <row r="25" customFormat="false" ht="15" hidden="false" customHeight="false" outlineLevel="0" collapsed="false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</row>
    <row r="26" customFormat="false" ht="15" hidden="false" customHeight="false" outlineLevel="0" collapsed="false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</row>
    <row r="27" customFormat="false" ht="15" hidden="false" customHeight="false" outlineLevel="0" collapsed="false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customFormat="false" ht="15" hidden="false" customHeight="false" outlineLevel="0" collapsed="false">
      <c r="A28" s="4"/>
      <c r="B28" s="15" t="s">
        <v>15</v>
      </c>
      <c r="C28" s="4"/>
      <c r="D28" s="4"/>
      <c r="E28" s="4"/>
      <c r="F28" s="4"/>
      <c r="G28" s="4"/>
      <c r="H28" s="4"/>
      <c r="I28" s="4"/>
      <c r="J28" s="4"/>
      <c r="K28" s="4"/>
      <c r="L28" s="4"/>
      <c r="N28" s="16" t="s">
        <v>16</v>
      </c>
    </row>
    <row r="29" customFormat="false" ht="25.5" hidden="false" customHeight="true" outlineLevel="0" collapsed="false">
      <c r="A29" s="4"/>
      <c r="B29" s="17" t="s">
        <v>17</v>
      </c>
      <c r="C29" s="17" t="s">
        <v>18</v>
      </c>
      <c r="D29" s="17" t="s">
        <v>19</v>
      </c>
      <c r="E29" s="17" t="s">
        <v>20</v>
      </c>
      <c r="F29" s="17" t="s">
        <v>21</v>
      </c>
      <c r="G29" s="17" t="s">
        <v>22</v>
      </c>
      <c r="H29" s="4"/>
      <c r="I29" s="4"/>
      <c r="J29" s="4"/>
      <c r="K29" s="4"/>
      <c r="L29" s="4"/>
      <c r="N29" s="17" t="s">
        <v>23</v>
      </c>
      <c r="O29" s="17" t="s">
        <v>24</v>
      </c>
      <c r="P29" s="18" t="s">
        <v>25</v>
      </c>
    </row>
    <row r="30" customFormat="false" ht="15" hidden="false" customHeight="false" outlineLevel="0" collapsed="false">
      <c r="A30" s="4"/>
      <c r="B30" s="19" t="s">
        <v>26</v>
      </c>
      <c r="C30" s="20" t="n">
        <v>0</v>
      </c>
      <c r="D30" s="20" t="n">
        <f aca="false">IF(G30&gt;=0,G30,0)</f>
        <v>41200</v>
      </c>
      <c r="E30" s="20" t="n">
        <f aca="false">IF(G30&lt;0,-G30,0)</f>
        <v>0</v>
      </c>
      <c r="F30" s="20" t="n">
        <f aca="false">G30</f>
        <v>41200</v>
      </c>
      <c r="G30" s="21" t="n">
        <f aca="false">INDEX(DADOS_MENSAIS!E:E,11)</f>
        <v>41200</v>
      </c>
      <c r="H30" s="4"/>
      <c r="I30" s="4"/>
      <c r="J30" s="4"/>
      <c r="K30" s="4"/>
      <c r="L30" s="4"/>
      <c r="N30" s="22" t="s">
        <v>27</v>
      </c>
      <c r="O30" s="23" t="n">
        <f aca="false">DADOS_MENSAIS!E6</f>
        <v>18000</v>
      </c>
      <c r="P30" s="24" t="str">
        <f aca="false">IF(OR(O30="",NOT(ISNUMBER(O30))),"",REPT("▬",MAX(1,ROUND((O30-(MIN(O30:O36)))/MAX(0.000000001,(MAX(O30:O36))-(MIN(O30:O36)))*10,0))))</f>
        <v>▬</v>
      </c>
    </row>
    <row r="31" customFormat="false" ht="15" hidden="false" customHeight="false" outlineLevel="0" collapsed="false">
      <c r="A31" s="4"/>
      <c r="B31" s="19" t="s">
        <v>28</v>
      </c>
      <c r="C31" s="20" t="n">
        <f aca="false">IF(G31&gt;=0,F30,F30+G31)</f>
        <v>41200</v>
      </c>
      <c r="D31" s="20" t="n">
        <f aca="false">IF(G31&gt;=0,G31,0)</f>
        <v>6300</v>
      </c>
      <c r="E31" s="20" t="n">
        <f aca="false">IF(G31&lt;0,-G31,0)</f>
        <v>0</v>
      </c>
      <c r="F31" s="20" t="n">
        <f aca="false">F30+G31</f>
        <v>47500</v>
      </c>
      <c r="G31" s="21" t="n">
        <f aca="false">MAX(0,INDEX(DADOS_MENSAIS!E:E,12)-INDEX(DADOS_MENSAIS!E:E,11))</f>
        <v>6300</v>
      </c>
      <c r="H31" s="4"/>
      <c r="I31" s="4"/>
      <c r="J31" s="4"/>
      <c r="K31" s="4"/>
      <c r="L31" s="4"/>
      <c r="N31" s="22" t="s">
        <v>29</v>
      </c>
      <c r="O31" s="23" t="n">
        <f aca="false">DADOS_MENSAIS!E7</f>
        <v>22400</v>
      </c>
      <c r="P31" s="24" t="str">
        <f aca="false">IF(OR(O31="",NOT(ISNUMBER(O31))),"",REPT("▬",MAX(1,ROUND((O31-(MIN(O30:O36)))/MAX(0.000000001,(MAX(O30:O36))-(MIN(O30:O36)))*10,0))))</f>
        <v>▬</v>
      </c>
    </row>
    <row r="32" customFormat="false" ht="15" hidden="false" customHeight="false" outlineLevel="0" collapsed="false">
      <c r="A32" s="4"/>
      <c r="B32" s="19" t="s">
        <v>30</v>
      </c>
      <c r="C32" s="20" t="n">
        <f aca="false">IF(G32&gt;=0,F31,F31+G32)</f>
        <v>47500</v>
      </c>
      <c r="D32" s="20" t="n">
        <f aca="false">IF(G32&gt;=0,G32,0)</f>
        <v>0</v>
      </c>
      <c r="E32" s="20" t="n">
        <f aca="false">IF(G32&lt;0,-G32,0)</f>
        <v>0</v>
      </c>
      <c r="F32" s="20" t="n">
        <f aca="false">F31+G32</f>
        <v>47500</v>
      </c>
      <c r="G32" s="21" t="n">
        <f aca="false">MIN(0,INDEX(DADOS_MENSAIS!E:E,12)-INDEX(DADOS_MENSAIS!E:E,11))</f>
        <v>0</v>
      </c>
      <c r="H32" s="4"/>
      <c r="I32" s="4"/>
      <c r="J32" s="4"/>
      <c r="K32" s="4"/>
      <c r="L32" s="4"/>
      <c r="N32" s="22" t="s">
        <v>31</v>
      </c>
      <c r="O32" s="23" t="n">
        <f aca="false">DADOS_MENSAIS!E8</f>
        <v>27200</v>
      </c>
      <c r="P32" s="24" t="str">
        <f aca="false">IF(OR(O32="",NOT(ISNUMBER(O32))),"",REPT("▬",MAX(1,ROUND((O32-(MIN(O30:O36)))/MAX(0.000000001,(MAX(O30:O36))-(MIN(O30:O36)))*10,0))))</f>
        <v>▬▬▬</v>
      </c>
    </row>
    <row r="33" customFormat="false" ht="15" hidden="false" customHeight="false" outlineLevel="0" collapsed="false">
      <c r="A33" s="4"/>
      <c r="B33" s="19" t="s">
        <v>32</v>
      </c>
      <c r="C33" s="20" t="n">
        <v>0</v>
      </c>
      <c r="D33" s="20" t="n">
        <f aca="false">IF(G33&gt;=0,G33,0)</f>
        <v>47500</v>
      </c>
      <c r="E33" s="20" t="n">
        <f aca="false">IF(G33&lt;0,-G33,0)</f>
        <v>0</v>
      </c>
      <c r="F33" s="20" t="n">
        <f aca="false">G33</f>
        <v>47500</v>
      </c>
      <c r="G33" s="21" t="n">
        <f aca="false">INDEX(DADOS_MENSAIS!E:E,12)</f>
        <v>47500</v>
      </c>
      <c r="H33" s="4"/>
      <c r="I33" s="4"/>
      <c r="J33" s="4"/>
      <c r="K33" s="4"/>
      <c r="L33" s="4"/>
      <c r="N33" s="22" t="s">
        <v>33</v>
      </c>
      <c r="O33" s="23" t="n">
        <f aca="false">DADOS_MENSAIS!E9</f>
        <v>30100</v>
      </c>
      <c r="P33" s="24" t="str">
        <f aca="false">IF(OR(O33="",NOT(ISNUMBER(O33))),"",REPT("▬",MAX(1,ROUND((O33-(MIN(O30:O36)))/MAX(0.000000001,(MAX(O30:O36))-(MIN(O30:O36)))*10,0))))</f>
        <v>▬▬▬▬</v>
      </c>
    </row>
    <row r="34" customFormat="false" ht="15" hidden="false" customHeight="false" outlineLevel="0" collapsed="false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N34" s="22" t="s">
        <v>34</v>
      </c>
      <c r="O34" s="23" t="n">
        <f aca="false">DADOS_MENSAIS!E10</f>
        <v>35600</v>
      </c>
      <c r="P34" s="24" t="str">
        <f aca="false">IF(OR(O34="",NOT(ISNUMBER(O34))),"",REPT("▬",MAX(1,ROUND((O34-(MIN(O30:O36)))/MAX(0.000000001,(MAX(O30:O36))-(MIN(O30:O36)))*10,0))))</f>
        <v>▬▬▬▬▬▬</v>
      </c>
    </row>
    <row r="35" customFormat="false" ht="15" hidden="false" customHeight="false" outlineLevel="0" collapsed="false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N35" s="22" t="s">
        <v>35</v>
      </c>
      <c r="O35" s="23" t="n">
        <f aca="false">DADOS_MENSAIS!E11</f>
        <v>41200</v>
      </c>
      <c r="P35" s="24" t="str">
        <f aca="false">IF(OR(O35="",NOT(ISNUMBER(O35))),"",REPT("▬",MAX(1,ROUND((O35-(MIN(O30:O36)))/MAX(0.000000001,(MAX(O30:O36))-(MIN(O30:O36)))*10,0))))</f>
        <v>▬▬▬▬▬▬▬▬</v>
      </c>
    </row>
    <row r="36" customFormat="false" ht="15" hidden="false" customHeight="false" outlineLevel="0" collapsed="false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N36" s="22" t="s">
        <v>36</v>
      </c>
      <c r="O36" s="23" t="n">
        <f aca="false">DADOS_MENSAIS!E12</f>
        <v>47500</v>
      </c>
      <c r="P36" s="24" t="str">
        <f aca="false">IF(OR(O36="",NOT(ISNUMBER(O36))),"",REPT("▬",MAX(1,ROUND((O36-(MIN(O30:O36)))/MAX(0.000000001,(MAX(O30:O36))-(MIN(O30:O36)))*10,0))))</f>
        <v>▬▬▬▬▬▬▬▬▬▬</v>
      </c>
    </row>
    <row r="37" customFormat="false" ht="15" hidden="false" customHeight="false" outlineLevel="0" collapsed="false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</row>
    <row r="38" customFormat="false" ht="15" hidden="false" customHeight="false" outlineLevel="0" collapsed="false">
      <c r="A38" s="4"/>
      <c r="B38" s="15" t="s">
        <v>37</v>
      </c>
      <c r="C38" s="4"/>
      <c r="D38" s="4"/>
      <c r="E38" s="4"/>
      <c r="F38" s="4"/>
      <c r="G38" s="4"/>
      <c r="H38" s="4"/>
      <c r="I38" s="4"/>
      <c r="J38" s="4"/>
      <c r="K38" s="4"/>
      <c r="L38" s="4"/>
    </row>
    <row r="39" customFormat="false" ht="25.5" hidden="false" customHeight="true" outlineLevel="0" collapsed="false">
      <c r="A39" s="4"/>
      <c r="B39" s="17" t="s">
        <v>38</v>
      </c>
      <c r="C39" s="17" t="s">
        <v>39</v>
      </c>
      <c r="D39" s="17" t="s">
        <v>40</v>
      </c>
      <c r="E39" s="17" t="s">
        <v>41</v>
      </c>
      <c r="F39" s="17" t="s">
        <v>42</v>
      </c>
      <c r="G39" s="17" t="s">
        <v>43</v>
      </c>
      <c r="H39" s="17" t="s">
        <v>44</v>
      </c>
      <c r="I39" s="17" t="s">
        <v>45</v>
      </c>
      <c r="J39" s="17" t="s">
        <v>25</v>
      </c>
      <c r="K39" s="4"/>
      <c r="L39" s="4"/>
    </row>
    <row r="40" customFormat="false" ht="15" hidden="false" customHeight="false" outlineLevel="0" collapsed="false">
      <c r="A40" s="4"/>
      <c r="B40" s="19" t="s">
        <v>46</v>
      </c>
      <c r="C40" s="25" t="n">
        <f aca="false">$Z$40</f>
        <v>47500</v>
      </c>
      <c r="D40" s="26" t="n">
        <v>18000</v>
      </c>
      <c r="E40" s="26" t="n">
        <v>22400</v>
      </c>
      <c r="F40" s="26" t="n">
        <v>27200</v>
      </c>
      <c r="G40" s="26" t="n">
        <v>30100</v>
      </c>
      <c r="H40" s="26" t="n">
        <v>35600</v>
      </c>
      <c r="I40" s="26" t="n">
        <f aca="false">$Z$40</f>
        <v>47500</v>
      </c>
      <c r="J40" s="27" t="str">
        <f aca="false">IF(D40=""," ",MID("▁▂▃▄▅▆▇█",MAX(1,MIN(8,ROUND((D40-(MIN(D40:I40)))/MAX(0.000000001,(MAX(D40:I40))-(MIN(D40:I40)))*7+1,0))),1))&amp;IF(E40=""," ",MID("▁▂▃▄▅▆▇█",MAX(1,MIN(8,ROUND((E40-(MIN(D40:I40)))/MAX(0.000000001,(MAX(D40:I40))-(MIN(D40:I40)))*7+1,0))),1))&amp;IF(F40=""," ",MID("▁▂▃▄▅▆▇█",MAX(1,MIN(8,ROUND((F40-(MIN(D40:I40)))/MAX(0.000000001,(MAX(D40:I40))-(MIN(D40:I40)))*7+1,0))),1))&amp;IF(G40=""," ",MID("▁▂▃▄▅▆▇█",MAX(1,MIN(8,ROUND((G40-(MIN(D40:I40)))/MAX(0.000000001,(MAX(D40:I40))-(MIN(D40:I40)))*7+1,0))),1))&amp;IF(H40=""," ",MID("▁▂▃▄▅▆▇█",MAX(1,MIN(8,ROUND((H40-(MIN(D40:I40)))/MAX(0.000000001,(MAX(D40:I40))-(MIN(D40:I40)))*7+1,0))),1))&amp;IF(I40=""," ",MID("▁▂▃▄▅▆▇█",MAX(1,MIN(8,ROUND((I40-(MIN(D40:I40)))/MAX(0.000000001,(MAX(D40:I40))-(MIN(D40:I40)))*7+1,0))),1))</f>
        <v>▁▂▃▄▅█</v>
      </c>
      <c r="K40" s="4"/>
      <c r="L40" s="4"/>
      <c r="Z40" s="28" t="n">
        <f aca="false">INDEX(DADOS_MENSAIS!E:E,12)</f>
        <v>47500</v>
      </c>
    </row>
    <row r="41" customFormat="false" ht="15" hidden="false" customHeight="false" outlineLevel="0" collapsed="false">
      <c r="A41" s="4"/>
      <c r="B41" s="19" t="s">
        <v>47</v>
      </c>
      <c r="C41" s="25" t="n">
        <f aca="false">$Z$42*100</f>
        <v>3.93700787401575</v>
      </c>
      <c r="D41" s="26" t="n">
        <v>5</v>
      </c>
      <c r="E41" s="26" t="n">
        <v>4.5</v>
      </c>
      <c r="F41" s="26" t="n">
        <v>4.2</v>
      </c>
      <c r="G41" s="26" t="n">
        <v>4</v>
      </c>
      <c r="H41" s="26" t="n">
        <v>3.9</v>
      </c>
      <c r="I41" s="26" t="n">
        <f aca="false">$Z$42*100</f>
        <v>3.93700787401575</v>
      </c>
      <c r="J41" s="27" t="str">
        <f aca="false">IF(D41=""," ",MID("▁▂▃▄▅▆▇█",MAX(1,MIN(8,ROUND((D41-(MIN(D41:I41)))/MAX(0.000000001,(MAX(D41:I41))-(MIN(D41:I41)))*7+1,0))),1))&amp;IF(E41=""," ",MID("▁▂▃▄▅▆▇█",MAX(1,MIN(8,ROUND((E41-(MIN(D41:I41)))/MAX(0.000000001,(MAX(D41:I41))-(MIN(D41:I41)))*7+1,0))),1))&amp;IF(F41=""," ",MID("▁▂▃▄▅▆▇█",MAX(1,MIN(8,ROUND((F41-(MIN(D41:I41)))/MAX(0.000000001,(MAX(D41:I41))-(MIN(D41:I41)))*7+1,0))),1))&amp;IF(G41=""," ",MID("▁▂▃▄▅▆▇█",MAX(1,MIN(8,ROUND((G41-(MIN(D41:I41)))/MAX(0.000000001,(MAX(D41:I41))-(MIN(D41:I41)))*7+1,0))),1))&amp;IF(H41=""," ",MID("▁▂▃▄▅▆▇█",MAX(1,MIN(8,ROUND((H41-(MIN(D41:I41)))/MAX(0.000000001,(MAX(D41:I41))-(MIN(D41:I41)))*7+1,0))),1))&amp;IF(I41=""," ",MID("▁▂▃▄▅▆▇█",MAX(1,MIN(8,ROUND((I41-(MIN(D41:I41)))/MAX(0.000000001,(MAX(D41:I41))-(MIN(D41:I41)))*7+1,0))),1))</f>
        <v>█▅▃▂▁▁</v>
      </c>
      <c r="K41" s="4"/>
      <c r="L41" s="4"/>
      <c r="Z41" s="29" t="n">
        <f aca="false">IFERROR(INDEX(DADOS_MENSAIS!E:E,12)/INDEX(DADOS_MENSAIS!E:E,11)-1,0)</f>
        <v>0.152912621359223</v>
      </c>
    </row>
    <row r="42" customFormat="false" ht="15" hidden="false" customHeight="false" outlineLevel="0" collapsed="false">
      <c r="A42" s="4"/>
      <c r="B42" s="19" t="s">
        <v>48</v>
      </c>
      <c r="C42" s="25" t="n">
        <f aca="false">$Z$45</f>
        <v>28.4868055555556</v>
      </c>
      <c r="D42" s="26" t="n">
        <v>8</v>
      </c>
      <c r="E42" s="26" t="n">
        <v>12</v>
      </c>
      <c r="F42" s="26" t="n">
        <v>15</v>
      </c>
      <c r="G42" s="26" t="n">
        <v>20</v>
      </c>
      <c r="H42" s="26" t="n">
        <v>24</v>
      </c>
      <c r="I42" s="26" t="n">
        <f aca="false">$Z$45</f>
        <v>28.4868055555556</v>
      </c>
      <c r="J42" s="27" t="str">
        <f aca="false">IF(D42=""," ",MID("▁▂▃▄▅▆▇█",MAX(1,MIN(8,ROUND((D42-(MIN(D42:I42)))/MAX(0.000000001,(MAX(D42:I42))-(MIN(D42:I42)))*7+1,0))),1))&amp;IF(E42=""," ",MID("▁▂▃▄▅▆▇█",MAX(1,MIN(8,ROUND((E42-(MIN(D42:I42)))/MAX(0.000000001,(MAX(D42:I42))-(MIN(D42:I42)))*7+1,0))),1))&amp;IF(F42=""," ",MID("▁▂▃▄▅▆▇█",MAX(1,MIN(8,ROUND((F42-(MIN(D42:I42)))/MAX(0.000000001,(MAX(D42:I42))-(MIN(D42:I42)))*7+1,0))),1))&amp;IF(G42=""," ",MID("▁▂▃▄▅▆▇█",MAX(1,MIN(8,ROUND((G42-(MIN(D42:I42)))/MAX(0.000000001,(MAX(D42:I42))-(MIN(D42:I42)))*7+1,0))),1))&amp;IF(H42=""," ",MID("▁▂▃▄▅▆▇█",MAX(1,MIN(8,ROUND((H42-(MIN(D42:I42)))/MAX(0.000000001,(MAX(D42:I42))-(MIN(D42:I42)))*7+1,0))),1))&amp;IF(I42=""," ",MID("▁▂▃▄▅▆▇█",MAX(1,MIN(8,ROUND((I42-(MIN(D42:I42)))/MAX(0.000000001,(MAX(D42:I42))-(MIN(D42:I42)))*7+1,0))),1))</f>
        <v>▁▂▃▅▆█</v>
      </c>
      <c r="K42" s="4"/>
      <c r="L42" s="4"/>
      <c r="Z42" s="29" t="n">
        <f aca="false">IFERROR(INDEX(DADOS_MENSAIS!C:C,12)/INDEX(DADOS_MENSAIS!D:D,11),0)</f>
        <v>0.0393700787401575</v>
      </c>
    </row>
    <row r="43" customFormat="false" ht="15" hidden="false" customHeight="false" outlineLevel="0" collapsed="false">
      <c r="A43" s="4"/>
      <c r="B43" s="19" t="s">
        <v>6</v>
      </c>
      <c r="C43" s="25" t="n">
        <f aca="false">$Z$43</f>
        <v>288</v>
      </c>
      <c r="D43" s="26" t="n">
        <v>400</v>
      </c>
      <c r="E43" s="26" t="n">
        <v>360</v>
      </c>
      <c r="F43" s="26" t="n">
        <v>330</v>
      </c>
      <c r="G43" s="26" t="n">
        <v>300</v>
      </c>
      <c r="H43" s="26" t="n">
        <v>290</v>
      </c>
      <c r="I43" s="26" t="n">
        <f aca="false">$Z$43</f>
        <v>288</v>
      </c>
      <c r="J43" s="27" t="str">
        <f aca="false">IF(D43=""," ",MID("▁▂▃▄▅▆▇█",MAX(1,MIN(8,ROUND((D43-(MIN(D43:I43)))/MAX(0.000000001,(MAX(D43:I43))-(MIN(D43:I43)))*7+1,0))),1))&amp;IF(E43=""," ",MID("▁▂▃▄▅▆▇█",MAX(1,MIN(8,ROUND((E43-(MIN(D43:I43)))/MAX(0.000000001,(MAX(D43:I43))-(MIN(D43:I43)))*7+1,0))),1))&amp;IF(F43=""," ",MID("▁▂▃▄▅▆▇█",MAX(1,MIN(8,ROUND((F43-(MIN(D43:I43)))/MAX(0.000000001,(MAX(D43:I43))-(MIN(D43:I43)))*7+1,0))),1))&amp;IF(G43=""," ",MID("▁▂▃▄▅▆▇█",MAX(1,MIN(8,ROUND((G43-(MIN(D43:I43)))/MAX(0.000000001,(MAX(D43:I43))-(MIN(D43:I43)))*7+1,0))),1))&amp;IF(H43=""," ",MID("▁▂▃▄▅▆▇█",MAX(1,MIN(8,ROUND((H43-(MIN(D43:I43)))/MAX(0.000000001,(MAX(D43:I43))-(MIN(D43:I43)))*7+1,0))),1))&amp;IF(I43=""," ",MID("▁▂▃▄▅▆▇█",MAX(1,MIN(8,ROUND((I43-(MIN(D43:I43)))/MAX(0.000000001,(MAX(D43:I43))-(MIN(D43:I43)))*7+1,0))),1))</f>
        <v>█▆▄▂▁▁</v>
      </c>
      <c r="K43" s="4"/>
      <c r="L43" s="4"/>
      <c r="Z43" s="29" t="n">
        <f aca="false">IFERROR(INDEX(DADOS_MENSAIS!F:F,12)/INDEX(DADOS_MENSAIS!B:B,12),0)</f>
        <v>288</v>
      </c>
    </row>
    <row r="44" customFormat="false" ht="15" hidden="false" customHeight="false" outlineLevel="0" collapsed="false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Z44" s="29" t="n">
        <f aca="false">IFERROR(INDEX(DADOS_MENSAIS!H:H,12)/MAX(Z42,0.01),0)</f>
        <v>8204.2</v>
      </c>
    </row>
    <row r="45" customFormat="false" ht="15" hidden="false" customHeight="false" outlineLevel="0" collapsed="false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Z45" s="29" t="n">
        <f aca="false">IFERROR(Z44/Z43,0)</f>
        <v>28.4868055555556</v>
      </c>
    </row>
    <row r="46" customFormat="false" ht="15" hidden="false" customHeight="false" outlineLevel="0" collapsed="false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Z46" s="30" t="n">
        <f aca="false">INDEX(DADOS_MENSAIS!D:D,12)</f>
        <v>147</v>
      </c>
    </row>
    <row r="47" customFormat="false" ht="15" hidden="false" customHeight="false" outlineLevel="0" collapsed="false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Z47" s="29" t="n">
        <f aca="false">INDEX(DADOS_MENSAIS!E:E,12)-INDEX(DADOS_MENSAIS!G:G,12)-INDEX(DADOS_MENSAIS!F:F,12)</f>
        <v>26800</v>
      </c>
    </row>
    <row r="48" customFormat="false" ht="15" hidden="false" customHeight="false" outlineLevel="0" collapsed="false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</row>
    <row r="49" customFormat="false" ht="15" hidden="false" customHeight="false" outlineLevel="0" collapsed="false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</row>
    <row r="50" customFormat="false" ht="15" hidden="false" customHeight="false" outlineLevel="0" collapsed="false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</row>
    <row r="51" customFormat="false" ht="15" hidden="false" customHeight="false" outlineLevel="0" collapsed="false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</row>
    <row r="52" customFormat="false" ht="15" hidden="false" customHeight="false" outlineLevel="0" collapsed="false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</row>
    <row r="53" customFormat="false" ht="15" hidden="false" customHeight="false" outlineLevel="0" collapsed="false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</row>
    <row r="54" customFormat="false" ht="15" hidden="false" customHeight="false" outlineLevel="0" collapsed="false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</row>
    <row r="55" customFormat="false" ht="15" hidden="false" customHeight="false" outlineLevel="0" collapsed="false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</row>
    <row r="56" customFormat="false" ht="15" hidden="false" customHeight="false" outlineLevel="0" collapsed="false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</row>
    <row r="57" customFormat="false" ht="15" hidden="false" customHeight="fals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</row>
    <row r="58" customFormat="false" ht="15" hidden="false" customHeight="fals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</row>
    <row r="59" customFormat="false" ht="15" hidden="false" customHeight="fals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</row>
    <row r="60" customFormat="false" ht="15" hidden="false" customHeight="fals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</row>
  </sheetData>
  <mergeCells count="28">
    <mergeCell ref="A1:L1"/>
    <mergeCell ref="A2:L2"/>
    <mergeCell ref="A3:L3"/>
    <mergeCell ref="B5:C5"/>
    <mergeCell ref="D5:E5"/>
    <mergeCell ref="F5:G5"/>
    <mergeCell ref="H5:I5"/>
    <mergeCell ref="J5:K5"/>
    <mergeCell ref="B6:C6"/>
    <mergeCell ref="D6:E6"/>
    <mergeCell ref="F6:G6"/>
    <mergeCell ref="H6:I6"/>
    <mergeCell ref="J6:K6"/>
    <mergeCell ref="B7:C7"/>
    <mergeCell ref="D7:E7"/>
    <mergeCell ref="F7:G7"/>
    <mergeCell ref="H7:I7"/>
    <mergeCell ref="J7:K7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3:K13"/>
  </mergeCells>
  <conditionalFormatting sqref="G30:G33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C40:C43">
    <cfRule type="dataBar" priority="4">
      <dataBar showValue="1" minLength="10" maxLength="90">
        <cfvo type="min" val="0"/>
        <cfvo type="max" val="0"/>
        <color rgb="FFC99C66"/>
      </dataBar>
      <extLst>
        <ext xmlns:x14="http://schemas.microsoft.com/office/spreadsheetml/2009/9/main" uri="{B025F937-C7B1-47D3-B67F-A62EFF666E3E}">
          <x14:id>{61BF283E-604A-4814-8BA9-D383C65981D8}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1BF283E-604A-4814-8BA9-D383C65981D8}">
            <x14:dataBar minLength="10" maxLength="90" axisPosition="none" gradient="true">
              <x14:cfvo type="min"/>
              <x14:cfvo type="max"/>
              <x14:negativeFillColor rgb="FFC99C66"/>
              <x14:axisColor rgb="FF000000"/>
            </x14:dataBar>
          </x14:cfRule>
          <xm:sqref>C40:C43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4"/>
    <col collapsed="false" customWidth="true" hidden="false" outlineLevel="0" max="5" min="4" style="0" width="13"/>
    <col collapsed="false" customWidth="true" hidden="false" outlineLevel="0" max="8" min="6" style="0" width="14"/>
  </cols>
  <sheetData>
    <row r="1" customFormat="false" ht="15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4"/>
      <c r="J1" s="4"/>
    </row>
    <row r="2" customFormat="false" ht="30" hidden="false" customHeight="true" outlineLevel="0" collapsed="false">
      <c r="A2" s="2" t="s">
        <v>49</v>
      </c>
      <c r="B2" s="2"/>
      <c r="C2" s="2"/>
      <c r="D2" s="2"/>
      <c r="E2" s="2"/>
      <c r="F2" s="2"/>
      <c r="G2" s="2"/>
      <c r="H2" s="2"/>
      <c r="I2" s="4"/>
      <c r="J2" s="4"/>
    </row>
    <row r="3" customFormat="false" ht="18" hidden="false" customHeight="true" outlineLevel="0" collapsed="false">
      <c r="A3" s="3" t="s">
        <v>50</v>
      </c>
      <c r="B3" s="3"/>
      <c r="C3" s="3"/>
      <c r="D3" s="3"/>
      <c r="E3" s="3"/>
      <c r="F3" s="3"/>
      <c r="G3" s="3"/>
      <c r="H3" s="3"/>
      <c r="I3" s="4"/>
      <c r="J3" s="4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  <c r="I4" s="4"/>
      <c r="J4" s="4"/>
    </row>
    <row r="5" customFormat="false" ht="25.5" hidden="false" customHeight="true" outlineLevel="0" collapsed="false">
      <c r="A5" s="17" t="s">
        <v>51</v>
      </c>
      <c r="B5" s="17" t="s">
        <v>52</v>
      </c>
      <c r="C5" s="17" t="s">
        <v>53</v>
      </c>
      <c r="D5" s="17" t="s">
        <v>54</v>
      </c>
      <c r="E5" s="17" t="s">
        <v>55</v>
      </c>
      <c r="F5" s="17" t="s">
        <v>56</v>
      </c>
      <c r="G5" s="17" t="s">
        <v>57</v>
      </c>
      <c r="H5" s="17" t="s">
        <v>58</v>
      </c>
      <c r="I5" s="4"/>
      <c r="J5" s="4"/>
    </row>
    <row r="6" customFormat="false" ht="15" hidden="false" customHeight="false" outlineLevel="0" collapsed="false">
      <c r="A6" s="31" t="s">
        <v>27</v>
      </c>
      <c r="B6" s="32" t="n">
        <v>12</v>
      </c>
      <c r="C6" s="32" t="n">
        <v>2</v>
      </c>
      <c r="D6" s="32" t="n">
        <v>60</v>
      </c>
      <c r="E6" s="33" t="n">
        <v>18000</v>
      </c>
      <c r="F6" s="33" t="n">
        <v>4200</v>
      </c>
      <c r="G6" s="33" t="n">
        <v>9000</v>
      </c>
      <c r="H6" s="33" t="n">
        <v>300</v>
      </c>
      <c r="I6" s="4"/>
      <c r="J6" s="4"/>
    </row>
    <row r="7" customFormat="false" ht="15" hidden="false" customHeight="false" outlineLevel="0" collapsed="false">
      <c r="A7" s="31" t="s">
        <v>29</v>
      </c>
      <c r="B7" s="32" t="n">
        <v>15</v>
      </c>
      <c r="C7" s="32" t="n">
        <v>3</v>
      </c>
      <c r="D7" s="32" t="n">
        <v>72</v>
      </c>
      <c r="E7" s="33" t="n">
        <v>22400</v>
      </c>
      <c r="F7" s="33" t="n">
        <v>4800</v>
      </c>
      <c r="G7" s="33" t="n">
        <v>9800</v>
      </c>
      <c r="H7" s="33" t="n">
        <v>311</v>
      </c>
      <c r="I7" s="4"/>
      <c r="J7" s="4"/>
    </row>
    <row r="8" customFormat="false" ht="15" hidden="false" customHeight="false" outlineLevel="0" collapsed="false">
      <c r="A8" s="31" t="s">
        <v>31</v>
      </c>
      <c r="B8" s="32" t="n">
        <v>18</v>
      </c>
      <c r="C8" s="32" t="n">
        <v>4</v>
      </c>
      <c r="D8" s="32" t="n">
        <v>86</v>
      </c>
      <c r="E8" s="33" t="n">
        <v>27200</v>
      </c>
      <c r="F8" s="33" t="n">
        <v>5200</v>
      </c>
      <c r="G8" s="33" t="n">
        <v>10500</v>
      </c>
      <c r="H8" s="33" t="n">
        <v>316</v>
      </c>
      <c r="I8" s="4"/>
      <c r="J8" s="4"/>
    </row>
    <row r="9" customFormat="false" ht="15" hidden="false" customHeight="false" outlineLevel="0" collapsed="false">
      <c r="A9" s="31" t="s">
        <v>33</v>
      </c>
      <c r="B9" s="32" t="n">
        <v>14</v>
      </c>
      <c r="C9" s="32" t="n">
        <v>5</v>
      </c>
      <c r="D9" s="32" t="n">
        <v>95</v>
      </c>
      <c r="E9" s="33" t="n">
        <v>30100</v>
      </c>
      <c r="F9" s="33" t="n">
        <v>5000</v>
      </c>
      <c r="G9" s="33" t="n">
        <v>11000</v>
      </c>
      <c r="H9" s="33" t="n">
        <v>317</v>
      </c>
      <c r="I9" s="4"/>
      <c r="J9" s="4"/>
    </row>
    <row r="10" customFormat="false" ht="15" hidden="false" customHeight="false" outlineLevel="0" collapsed="false">
      <c r="A10" s="31" t="s">
        <v>34</v>
      </c>
      <c r="B10" s="32" t="n">
        <v>20</v>
      </c>
      <c r="C10" s="32" t="n">
        <v>4</v>
      </c>
      <c r="D10" s="32" t="n">
        <v>111</v>
      </c>
      <c r="E10" s="33" t="n">
        <v>35600</v>
      </c>
      <c r="F10" s="33" t="n">
        <v>6100</v>
      </c>
      <c r="G10" s="33" t="n">
        <v>12000</v>
      </c>
      <c r="H10" s="33" t="n">
        <v>321</v>
      </c>
      <c r="I10" s="4"/>
      <c r="J10" s="4"/>
    </row>
    <row r="11" customFormat="false" ht="15" hidden="false" customHeight="false" outlineLevel="0" collapsed="false">
      <c r="A11" s="31" t="s">
        <v>35</v>
      </c>
      <c r="B11" s="32" t="n">
        <v>22</v>
      </c>
      <c r="C11" s="32" t="n">
        <v>6</v>
      </c>
      <c r="D11" s="32" t="n">
        <v>127</v>
      </c>
      <c r="E11" s="33" t="n">
        <v>41200</v>
      </c>
      <c r="F11" s="33" t="n">
        <v>6800</v>
      </c>
      <c r="G11" s="33" t="n">
        <v>12800</v>
      </c>
      <c r="H11" s="33" t="n">
        <v>324</v>
      </c>
      <c r="I11" s="4"/>
      <c r="J11" s="4"/>
    </row>
    <row r="12" customFormat="false" ht="15" hidden="false" customHeight="false" outlineLevel="0" collapsed="false">
      <c r="A12" s="31" t="s">
        <v>36</v>
      </c>
      <c r="B12" s="32" t="n">
        <v>25</v>
      </c>
      <c r="C12" s="32" t="n">
        <v>5</v>
      </c>
      <c r="D12" s="32" t="n">
        <v>147</v>
      </c>
      <c r="E12" s="33" t="n">
        <v>47500</v>
      </c>
      <c r="F12" s="33" t="n">
        <v>7200</v>
      </c>
      <c r="G12" s="33" t="n">
        <v>13500</v>
      </c>
      <c r="H12" s="33" t="n">
        <v>323</v>
      </c>
      <c r="I12" s="4"/>
      <c r="J12" s="4"/>
    </row>
    <row r="13" customFormat="false" ht="15" hidden="false" customHeight="false" outlineLevel="0" collapsed="false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customFormat="false" ht="15" hidden="false" customHeight="false" outlineLevel="0" collapsed="false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customFormat="false" ht="15" hidden="false" customHeight="false" outlineLevel="0" collapsed="false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customFormat="false" ht="15" hidden="false" customHeight="false" outlineLevel="0" collapsed="false">
      <c r="A16" s="4"/>
      <c r="B16" s="4"/>
      <c r="C16" s="4"/>
      <c r="D16" s="4"/>
      <c r="E16" s="4"/>
      <c r="F16" s="4"/>
      <c r="G16" s="4"/>
      <c r="H16" s="4"/>
      <c r="I16" s="4"/>
      <c r="J16" s="4"/>
    </row>
    <row r="17" customFormat="false" ht="15" hidden="false" customHeight="false" outlineLevel="0" collapsed="false">
      <c r="A17" s="4"/>
      <c r="B17" s="4"/>
      <c r="C17" s="4"/>
      <c r="D17" s="4"/>
      <c r="E17" s="4"/>
      <c r="F17" s="4"/>
      <c r="G17" s="4"/>
      <c r="H17" s="4"/>
      <c r="I17" s="4"/>
      <c r="J17" s="4"/>
    </row>
    <row r="18" customFormat="false" ht="15" hidden="false" customHeight="false" outlineLevel="0" collapsed="false">
      <c r="A18" s="4"/>
      <c r="B18" s="4"/>
      <c r="C18" s="4"/>
      <c r="D18" s="4"/>
      <c r="E18" s="4"/>
      <c r="F18" s="4"/>
      <c r="G18" s="4"/>
      <c r="H18" s="4"/>
      <c r="I18" s="4"/>
      <c r="J18" s="4"/>
    </row>
    <row r="19" customFormat="false" ht="15" hidden="false" customHeight="false" outlineLevel="0" collapsed="false">
      <c r="A19" s="4"/>
      <c r="B19" s="4"/>
      <c r="C19" s="4"/>
      <c r="D19" s="4"/>
      <c r="E19" s="4"/>
      <c r="F19" s="4"/>
      <c r="G19" s="4"/>
      <c r="H19" s="4"/>
      <c r="I19" s="4"/>
      <c r="J19" s="4"/>
    </row>
    <row r="20" customFormat="false" ht="15" hidden="false" customHeight="false" outlineLevel="0" collapsed="false">
      <c r="A20" s="4"/>
      <c r="B20" s="4"/>
      <c r="C20" s="4"/>
      <c r="D20" s="4"/>
      <c r="E20" s="4"/>
      <c r="F20" s="4"/>
      <c r="G20" s="4"/>
      <c r="H20" s="4"/>
      <c r="I20" s="4"/>
      <c r="J20" s="4"/>
    </row>
    <row r="21" customFormat="false" ht="15" hidden="false" customHeight="false" outlineLevel="0" collapsed="false">
      <c r="A21" s="4"/>
      <c r="B21" s="4"/>
      <c r="C21" s="4"/>
      <c r="D21" s="4"/>
      <c r="E21" s="4"/>
      <c r="F21" s="4"/>
      <c r="G21" s="4"/>
      <c r="H21" s="4"/>
      <c r="I21" s="4"/>
      <c r="J21" s="4"/>
    </row>
    <row r="22" customFormat="false" ht="15" hidden="false" customHeight="false" outlineLevel="0" collapsed="false">
      <c r="A22" s="4"/>
      <c r="B22" s="4"/>
      <c r="C22" s="4"/>
      <c r="D22" s="4"/>
      <c r="E22" s="4"/>
      <c r="F22" s="4"/>
      <c r="G22" s="4"/>
      <c r="H22" s="4"/>
      <c r="I22" s="4"/>
      <c r="J22" s="4"/>
    </row>
    <row r="23" customFormat="false" ht="15" hidden="false" customHeight="false" outlineLevel="0" collapsed="false">
      <c r="A23" s="4"/>
      <c r="B23" s="4"/>
      <c r="C23" s="4"/>
      <c r="D23" s="4"/>
      <c r="E23" s="4"/>
      <c r="F23" s="4"/>
      <c r="G23" s="4"/>
      <c r="H23" s="4"/>
      <c r="I23" s="4"/>
      <c r="J23" s="4"/>
    </row>
    <row r="24" customFormat="false" ht="15" hidden="false" customHeight="false" outlineLevel="0" collapsed="false">
      <c r="A24" s="4"/>
      <c r="B24" s="4"/>
      <c r="C24" s="4"/>
      <c r="D24" s="4"/>
      <c r="E24" s="4"/>
      <c r="F24" s="4"/>
      <c r="G24" s="4"/>
      <c r="H24" s="4"/>
      <c r="I24" s="4"/>
      <c r="J24" s="4"/>
    </row>
    <row r="25" customFormat="false" ht="15" hidden="false" customHeight="false" outlineLevel="0" collapsed="false">
      <c r="A25" s="4"/>
      <c r="B25" s="4"/>
      <c r="C25" s="4"/>
      <c r="D25" s="4"/>
      <c r="E25" s="4"/>
      <c r="F25" s="4"/>
      <c r="G25" s="4"/>
      <c r="H25" s="4"/>
      <c r="I25" s="4"/>
      <c r="J25" s="4"/>
    </row>
    <row r="26" customFormat="false" ht="15" hidden="false" customHeight="false" outlineLevel="0" collapsed="false">
      <c r="A26" s="4"/>
      <c r="B26" s="4"/>
      <c r="C26" s="4"/>
      <c r="D26" s="4"/>
      <c r="E26" s="4"/>
      <c r="F26" s="4"/>
      <c r="G26" s="4"/>
      <c r="H26" s="4"/>
      <c r="I26" s="4"/>
      <c r="J26" s="4"/>
    </row>
    <row r="27" customFormat="false" ht="15" hidden="false" customHeight="false" outlineLevel="0" collapsed="false">
      <c r="A27" s="4"/>
      <c r="B27" s="4"/>
      <c r="C27" s="4"/>
      <c r="D27" s="4"/>
      <c r="E27" s="4"/>
      <c r="F27" s="4"/>
      <c r="G27" s="4"/>
      <c r="H27" s="4"/>
      <c r="I27" s="4"/>
      <c r="J27" s="4"/>
    </row>
    <row r="28" customFormat="false" ht="15" hidden="false" customHeight="false" outlineLevel="0" collapsed="false">
      <c r="A28" s="4"/>
      <c r="B28" s="4"/>
      <c r="C28" s="4"/>
      <c r="D28" s="4"/>
      <c r="E28" s="4"/>
      <c r="F28" s="4"/>
      <c r="G28" s="4"/>
      <c r="H28" s="4"/>
      <c r="I28" s="4"/>
      <c r="J28" s="4"/>
    </row>
    <row r="29" customFormat="false" ht="15" hidden="false" customHeight="false" outlineLevel="0" collapsed="false">
      <c r="A29" s="4"/>
      <c r="B29" s="4"/>
      <c r="C29" s="4"/>
      <c r="D29" s="4"/>
      <c r="E29" s="4"/>
      <c r="F29" s="4"/>
      <c r="G29" s="4"/>
      <c r="H29" s="4"/>
      <c r="I29" s="4"/>
      <c r="J29" s="4"/>
    </row>
    <row r="30" customFormat="false" ht="15" hidden="false" customHeight="false" outlineLevel="0" collapsed="false">
      <c r="A30" s="4"/>
      <c r="B30" s="4"/>
      <c r="C30" s="4"/>
      <c r="D30" s="4"/>
      <c r="E30" s="4"/>
      <c r="F30" s="4"/>
      <c r="G30" s="4"/>
      <c r="H30" s="4"/>
      <c r="I30" s="4"/>
      <c r="J30" s="4"/>
    </row>
    <row r="31" customFormat="false" ht="15" hidden="false" customHeight="false" outlineLevel="0" collapsed="false">
      <c r="A31" s="4"/>
      <c r="B31" s="4"/>
      <c r="C31" s="4"/>
      <c r="D31" s="4"/>
      <c r="E31" s="4"/>
      <c r="F31" s="4"/>
      <c r="G31" s="4"/>
      <c r="H31" s="4"/>
      <c r="I31" s="4"/>
      <c r="J31" s="4"/>
    </row>
    <row r="32" customFormat="false" ht="15" hidden="false" customHeight="false" outlineLevel="0" collapsed="false">
      <c r="A32" s="4"/>
      <c r="B32" s="4"/>
      <c r="C32" s="4"/>
      <c r="D32" s="4"/>
      <c r="E32" s="4"/>
      <c r="F32" s="4"/>
      <c r="G32" s="4"/>
      <c r="H32" s="4"/>
      <c r="I32" s="4"/>
      <c r="J32" s="4"/>
    </row>
    <row r="33" customFormat="false" ht="15" hidden="false" customHeight="false" outlineLevel="0" collapsed="false">
      <c r="A33" s="4"/>
      <c r="B33" s="4"/>
      <c r="C33" s="4"/>
      <c r="D33" s="4"/>
      <c r="E33" s="4"/>
      <c r="F33" s="4"/>
      <c r="G33" s="4"/>
      <c r="H33" s="4"/>
      <c r="I33" s="4"/>
      <c r="J33" s="4"/>
    </row>
    <row r="34" customFormat="false" ht="15" hidden="false" customHeight="false" outlineLevel="0" collapsed="false">
      <c r="A34" s="4"/>
      <c r="B34" s="4"/>
      <c r="C34" s="4"/>
      <c r="D34" s="4"/>
      <c r="E34" s="4"/>
      <c r="F34" s="4"/>
      <c r="G34" s="4"/>
      <c r="H34" s="4"/>
      <c r="I34" s="4"/>
      <c r="J34" s="4"/>
    </row>
    <row r="35" customFormat="false" ht="15" hidden="false" customHeight="false" outlineLevel="0" collapsed="false">
      <c r="A35" s="4"/>
      <c r="B35" s="4"/>
      <c r="C35" s="4"/>
      <c r="D35" s="4"/>
      <c r="E35" s="4"/>
      <c r="F35" s="4"/>
      <c r="G35" s="4"/>
      <c r="H35" s="4"/>
      <c r="I35" s="4"/>
      <c r="J35" s="4"/>
    </row>
    <row r="36" customFormat="false" ht="15" hidden="false" customHeight="false" outlineLevel="0" collapsed="false">
      <c r="A36" s="4"/>
      <c r="B36" s="4"/>
      <c r="C36" s="4"/>
      <c r="D36" s="4"/>
      <c r="E36" s="4"/>
      <c r="F36" s="4"/>
      <c r="G36" s="4"/>
      <c r="H36" s="4"/>
      <c r="I36" s="4"/>
      <c r="J36" s="4"/>
    </row>
    <row r="37" customFormat="false" ht="15" hidden="false" customHeight="false" outlineLevel="0" collapsed="false">
      <c r="A37" s="4"/>
      <c r="B37" s="4"/>
      <c r="C37" s="4"/>
      <c r="D37" s="4"/>
      <c r="E37" s="4"/>
      <c r="F37" s="4"/>
      <c r="G37" s="4"/>
      <c r="H37" s="4"/>
      <c r="I37" s="4"/>
      <c r="J37" s="4"/>
    </row>
    <row r="38" customFormat="false" ht="15" hidden="false" customHeight="false" outlineLevel="0" collapsed="false">
      <c r="A38" s="4"/>
      <c r="B38" s="4"/>
      <c r="C38" s="4"/>
      <c r="D38" s="4"/>
      <c r="E38" s="4"/>
      <c r="F38" s="4"/>
      <c r="G38" s="4"/>
      <c r="H38" s="4"/>
      <c r="I38" s="4"/>
      <c r="J38" s="4"/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4"/>
      <c r="H39" s="4"/>
      <c r="I39" s="4"/>
      <c r="J39" s="4"/>
    </row>
    <row r="40" customFormat="false" ht="15" hidden="false" customHeight="false" outlineLevel="0" collapsed="false">
      <c r="A40" s="4"/>
      <c r="B40" s="4"/>
      <c r="C40" s="4"/>
      <c r="D40" s="4"/>
      <c r="E40" s="4"/>
      <c r="F40" s="4"/>
      <c r="G40" s="4"/>
      <c r="H40" s="4"/>
      <c r="I40" s="4"/>
      <c r="J40" s="4"/>
    </row>
  </sheetData>
  <mergeCells count="3">
    <mergeCell ref="A1:H1"/>
    <mergeCell ref="A2:H2"/>
    <mergeCell ref="A3:H3"/>
  </mergeCells>
  <conditionalFormatting sqref="F6:F12">
    <cfRule type="dataBar" priority="2">
      <dataBar showValue="1" minLength="10" maxLength="90">
        <cfvo type="min" val="0"/>
        <cfvo type="max" val="0"/>
        <color rgb="FFC99C66"/>
      </dataBar>
      <extLst>
        <ext xmlns:x14="http://schemas.microsoft.com/office/spreadsheetml/2009/9/main" uri="{B025F937-C7B1-47D3-B67F-A62EFF666E3E}">
          <x14:id>{A45BE8AA-8CD9-4270-9065-89EC42F64A8E}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45BE8AA-8CD9-4270-9065-89EC42F64A8E}">
            <x14:dataBar minLength="10" maxLength="90" axisPosition="none" gradient="true">
              <x14:cfvo type="min"/>
              <x14:cfvo type="max"/>
              <x14:negativeFillColor rgb="FFC99C66"/>
              <x14:axisColor rgb="FF000000"/>
            </x14:dataBar>
          </x14:cfRule>
          <xm:sqref>F6:F12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2026-07-22T19:18:38Z</dcterms:created>
  <dc:creator>openpyxl</dc:creator>
  <dc:description/>
  <dc:language>en-US</dc:language>
  <cp:lastModifiedBy/>
  <dcterms:modified xsi:type="dcterms:W3CDTF">2026-07-22T19:18:38Z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