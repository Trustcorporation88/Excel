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DOS_MENSAIS" sheetId="2" state="visible" r:id="rId2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"/>
    <numFmt numFmtId="165" formatCode="0.0%"/>
    <numFmt numFmtId="166" formatCode="0.0x"/>
    <numFmt numFmtId="167" formatCode="#,##0;(#,##0);&quot;—&quot;"/>
    <numFmt numFmtId="168" formatCode="#,##0.0;(#,##0.0);&quot;—&quot;"/>
  </numFmts>
  <fonts count="23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43D07F"/>
      <sz val="18"/>
    </font>
    <font>
      <name val="Aptos Narrow"/>
      <b val="1"/>
      <color rgb="00D9534F"/>
      <sz val="18"/>
    </font>
    <font>
      <name val="Aptos Narrow"/>
      <b val="1"/>
      <color rgb="00E0A94B"/>
      <sz val="18"/>
    </font>
    <font>
      <name val="Aptos Narrow"/>
      <b val="1"/>
      <color rgb="00F3ECDD"/>
      <sz val="18"/>
    </font>
    <font>
      <name val="Aptos Narrow"/>
      <i val="1"/>
      <color rgb="00F3ECDD"/>
      <sz val="10"/>
    </font>
    <font>
      <name val="Aptos Narrow"/>
      <b val="1"/>
      <color rgb="00C99C66"/>
      <sz val="10"/>
    </font>
    <font>
      <name val="Aptos Narrow"/>
      <color rgb="00F3ECDD"/>
      <sz val="9"/>
    </font>
    <font>
      <name val="Aptos Narrow"/>
      <color rgb="008A9691"/>
      <sz val="8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  <font>
      <name val="Aptos Narrow"/>
      <color rgb="008A9691"/>
      <sz val="7"/>
    </font>
    <font>
      <name val="Aptos Narrow"/>
      <color rgb="0043D07F"/>
      <sz val="11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8" fillId="4" borderId="1" applyAlignment="1" pivotButton="0" quotePrefix="0" xfId="0">
      <alignment horizontal="center" vertical="center"/>
    </xf>
    <xf numFmtId="165" fontId="10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5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19" fillId="3" borderId="0" pivotButton="0" quotePrefix="0" xfId="0"/>
    <xf numFmtId="0" fontId="16" fillId="2" borderId="1" pivotButton="0" quotePrefix="0" xfId="0"/>
    <xf numFmtId="167" fontId="17" fillId="2" borderId="1" pivotButton="0" quotePrefix="0" xfId="0"/>
    <xf numFmtId="167" fontId="1" fillId="2" borderId="1" pivotButton="0" quotePrefix="0" xfId="0"/>
    <xf numFmtId="0" fontId="17" fillId="0" borderId="1" pivotButton="0" quotePrefix="0" xfId="0"/>
    <xf numFmtId="168" fontId="18" fillId="0" borderId="1" pivotButton="0" quotePrefix="0" xfId="0"/>
    <xf numFmtId="0" fontId="20" fillId="0" borderId="1" pivotButton="0" quotePrefix="0" xfId="0"/>
    <xf numFmtId="168" fontId="15" fillId="2" borderId="1" pivotButton="0" quotePrefix="0" xfId="0"/>
    <xf numFmtId="1" fontId="21" fillId="2" borderId="1" pivotButton="0" quotePrefix="0" xfId="0"/>
    <xf numFmtId="0" fontId="22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1" pivotButton="0" quotePrefix="0" xfId="0"/>
    <xf numFmtId="1" fontId="5" fillId="2" borderId="1" pivotButton="0" quotePrefix="0" xfId="0"/>
    <xf numFmtId="164" fontId="5" fillId="2" borderId="1" pivotButton="0" quotePrefix="0" xfId="0"/>
  </cellXfs>
  <cellStyles count="1">
    <cellStyle name="Normal" xfId="0" builtinId="0" hidden="0"/>
  </cellStyles>
  <dxfs count="2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por mês</a:t>
            </a:r>
          </a:p>
        </rich>
      </tx>
    </title>
    <plotArea>
      <lineChart>
        <grouping val="standard"/>
        <ser>
          <idx val="0"/>
          <order val="0"/>
          <tx>
            <strRef>
              <f>'DADOS_MENSAIS'!E5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'DADOS_MENSAIS'!$A$6:$A$12</f>
            </numRef>
          </cat>
          <val>
            <numRef>
              <f>'DADOS_MENSAIS'!$E$6:$E$12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Aquisição x churn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'DADOS_MENSAIS'!B5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'DADOS_MENSAIS'!$A$6:$A$12</f>
            </numRef>
          </cat>
          <val>
            <numRef>
              <f>'DADOS_MENSAIS'!$B$6:$B$12</f>
            </numRef>
          </val>
        </ser>
        <ser>
          <idx val="1"/>
          <order val="1"/>
          <tx>
            <strRef>
              <f>'DADOS_MENSAIS'!C5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'DADOS_MENSAIS'!$A$6:$A$12</f>
            </numRef>
          </cat>
          <val>
            <numRef>
              <f>'DADOS_MENSAIS'!$C$6:$C$12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· MRR bridge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'DASHBOARD'!C29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'DASHBOARD'!$B$30:$B$33</f>
            </numRef>
          </cat>
          <val>
            <numRef>
              <f>'DASHBOARD'!$C$30:$C$33</f>
            </numRef>
          </val>
        </ser>
        <ser>
          <idx val="1"/>
          <order val="1"/>
          <tx>
            <strRef>
              <f>'DASHBOARD'!D29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'DASHBOARD'!$B$30:$B$33</f>
            </numRef>
          </cat>
          <val>
            <numRef>
              <f>'DASHBOARD'!$D$30:$D$33</f>
            </numRef>
          </val>
        </ser>
        <ser>
          <idx val="2"/>
          <order val="2"/>
          <tx>
            <strRef>
              <f>'DASHBOARD'!E29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'DASHBOARD'!$B$30:$B$33</f>
            </numRef>
          </cat>
          <val>
            <numRef>
              <f>'DASHBOARD'!$E$30:$E$33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'DASHBOARD'!O29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'DASHBOARD'!$N$30:$N$36</f>
            </numRef>
          </cat>
          <val>
            <numRef>
              <f>'DASHBOARD'!$O$30:$O$36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15</row>
      <rowOff>0</rowOff>
    </from>
    <ext cx="39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27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37</row>
      <rowOff>0</rowOff>
    </from>
    <ext cx="3600000" cy="14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BI Executivo do Negócio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MRR · crescimento · churn · CAC · LTV · eficiência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MRR ATUAL</t>
        </is>
      </c>
      <c r="C5" s="6" t="n"/>
      <c r="D5" s="5" t="inlineStr">
        <is>
          <t>CRESCIMENTO M/M</t>
        </is>
      </c>
      <c r="E5" s="6" t="n"/>
      <c r="F5" s="5" t="inlineStr">
        <is>
          <t>CHURN</t>
        </is>
      </c>
      <c r="G5" s="6" t="n"/>
      <c r="H5" s="5" t="inlineStr">
        <is>
          <t>CAC</t>
        </is>
      </c>
      <c r="I5" s="6" t="n"/>
      <c r="J5" s="5" t="inlineStr">
        <is>
          <t>LTV / CAC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Z43</f>
        <v/>
      </c>
      <c r="I6" s="6" t="n"/>
      <c r="J6" s="11">
        <f>Z45</f>
        <v/>
      </c>
      <c r="K6" s="6" t="n"/>
      <c r="L6" s="2" t="n"/>
    </row>
    <row r="7" ht="14" customHeight="1">
      <c r="A7" s="2" t="n"/>
      <c r="B7" s="12" t="inlineStr"/>
      <c r="C7" s="6" t="n"/>
      <c r="D7" s="12" t="inlineStr"/>
      <c r="E7" s="6" t="n"/>
      <c r="F7" s="12" t="inlineStr"/>
      <c r="G7" s="6" t="n"/>
      <c r="H7" s="12" t="inlineStr">
        <is>
          <t>custo p/ adquirir</t>
        </is>
      </c>
      <c r="I7" s="6" t="n"/>
      <c r="J7" s="12" t="inlineStr">
        <is>
          <t>saudável ≥ 3x</t>
        </is>
      </c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15" customHeight="1">
      <c r="A9" s="2" t="n"/>
      <c r="B9" s="5" t="inlineStr">
        <is>
          <t>CLIENTES ATIVOS</t>
        </is>
      </c>
      <c r="C9" s="6" t="n"/>
      <c r="D9" s="5" t="inlineStr">
        <is>
          <t>LTV</t>
        </is>
      </c>
      <c r="E9" s="6" t="n"/>
      <c r="F9" s="5" t="inlineStr">
        <is>
          <t>LUCRO OPER. (mês)</t>
        </is>
      </c>
      <c r="G9" s="6" t="n"/>
      <c r="H9" s="2" t="n"/>
      <c r="I9" s="2" t="n"/>
      <c r="J9" s="2" t="n"/>
      <c r="K9" s="2" t="n"/>
      <c r="L9" s="2" t="n"/>
    </row>
    <row r="10" ht="26" customHeight="1">
      <c r="A10" s="2" t="n"/>
      <c r="B10" s="13">
        <f>Z46</f>
        <v/>
      </c>
      <c r="C10" s="6" t="n"/>
      <c r="D10" s="14">
        <f>Z44</f>
        <v/>
      </c>
      <c r="E10" s="6" t="n"/>
      <c r="F10" s="14">
        <f>Z47</f>
        <v/>
      </c>
      <c r="G10" s="6" t="n"/>
      <c r="H10" s="2" t="n"/>
      <c r="I10" s="2" t="n"/>
      <c r="J10" s="2" t="n"/>
      <c r="K10" s="2" t="n"/>
      <c r="L10" s="2" t="n"/>
    </row>
    <row r="11" ht="14" customHeight="1">
      <c r="A11" s="2" t="n"/>
      <c r="B11" s="12" t="inlineStr"/>
      <c r="C11" s="6" t="n"/>
      <c r="D11" s="12" t="inlineStr"/>
      <c r="E11" s="6" t="n"/>
      <c r="F11" s="12" t="inlineStr"/>
      <c r="G11" s="6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32" customHeight="1">
      <c r="A13" s="2" t="n"/>
      <c r="B13" s="15">
        <f>CONCATENATE("Leitura executiva: MRR de ",TEXT(Z40,"R$ #,##0")," (",TEXT(Z41,"+0.0%;-0.0%")," no mês). LTV/CAC de ",TEXT(Z45,"0.0"),"x e churn de ",TEXT(Z42,"0.0%"),". ",IF(Z45&gt;=3,"Motor de aquisição saudável — pise no acelerador.",IF(Z45&gt;=1,"Aquisição no limite — otimize CAC ou retenção.","Aquisição no vermelho — reduza CAC antes de escalar.")))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7" t="inlineStr">
        <is>
          <t>EVOLUÇÃO DO MRR</t>
        </is>
      </c>
      <c r="C15" s="2" t="n"/>
      <c r="D15" s="2" t="n"/>
      <c r="E15" s="2" t="n"/>
      <c r="F15" s="2" t="n"/>
      <c r="G15" s="17" t="inlineStr">
        <is>
          <t>NOVOS x CANCELADOS</t>
        </is>
      </c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17" t="inlineStr">
        <is>
          <t>Cascata do MRR (mês)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N28" s="18" t="inlineStr">
        <is>
          <t>Spark · MRR 7 meses</t>
        </is>
      </c>
    </row>
    <row r="29" ht="26" customHeight="1">
      <c r="A29" s="2" t="n"/>
      <c r="B29" s="19" t="inlineStr">
        <is>
          <t>Etapa</t>
        </is>
      </c>
      <c r="C29" s="19" t="inlineStr">
        <is>
          <t>Base</t>
        </is>
      </c>
      <c r="D29" s="19" t="inlineStr">
        <is>
          <t>Alta</t>
        </is>
      </c>
      <c r="E29" s="19" t="inlineStr">
        <is>
          <t>Baixa</t>
        </is>
      </c>
      <c r="F29" s="19" t="inlineStr">
        <is>
          <t>Total</t>
        </is>
      </c>
      <c r="G29" s="19" t="inlineStr">
        <is>
          <t>Δ</t>
        </is>
      </c>
      <c r="H29" s="2" t="n"/>
      <c r="I29" s="2" t="n"/>
      <c r="J29" s="2" t="n"/>
      <c r="K29" s="2" t="n"/>
      <c r="L29" s="2" t="n"/>
      <c r="N29" s="19" t="inlineStr">
        <is>
          <t>Ponto</t>
        </is>
      </c>
      <c r="O29" s="19" t="inlineStr">
        <is>
          <t>Valor</t>
        </is>
      </c>
      <c r="P29" s="20" t="inlineStr">
        <is>
          <t>Spark</t>
        </is>
      </c>
    </row>
    <row r="30">
      <c r="A30" s="2" t="n"/>
      <c r="B30" s="21" t="inlineStr">
        <is>
          <t>MRR anterior</t>
        </is>
      </c>
      <c r="C30" s="22" t="n">
        <v>0</v>
      </c>
      <c r="D30" s="22">
        <f>IF(G30&gt;=0,G30,0)</f>
        <v/>
      </c>
      <c r="E30" s="22">
        <f>IF(G30&lt;0,-G30,0)</f>
        <v/>
      </c>
      <c r="F30" s="22">
        <f>G30</f>
        <v/>
      </c>
      <c r="G30" s="23">
        <f>INDEX(DADOS_MENSAIS!E:E,11)</f>
        <v/>
      </c>
      <c r="H30" s="2" t="n"/>
      <c r="I30" s="2" t="n"/>
      <c r="J30" s="2" t="n"/>
      <c r="K30" s="2" t="n"/>
      <c r="L30" s="2" t="n"/>
      <c r="N30" s="24" t="inlineStr">
        <is>
          <t>Jan</t>
        </is>
      </c>
      <c r="O30" s="25">
        <f>DADOS_MENSAIS!E6</f>
        <v/>
      </c>
      <c r="P30" s="26">
        <f>IF(OR(O30="",NOT(ISNUMBER(O30))),"",REPT("▬",MAX(1,ROUND((O30-(MIN(O30:O36)))/MAX(1E-9,(MAX(O30:O36))-(MIN(O30:O36)))*10,0))))</f>
        <v/>
      </c>
    </row>
    <row r="31">
      <c r="A31" s="2" t="n"/>
      <c r="B31" s="21" t="inlineStr">
        <is>
          <t>+ Expansão/novos</t>
        </is>
      </c>
      <c r="C31" s="22">
        <f>IF(G31&gt;=0,F30,F30+G31)</f>
        <v/>
      </c>
      <c r="D31" s="22">
        <f>IF(G31&gt;=0,G31,0)</f>
        <v/>
      </c>
      <c r="E31" s="22">
        <f>IF(G31&lt;0,-G31,0)</f>
        <v/>
      </c>
      <c r="F31" s="22">
        <f>F30+G31</f>
        <v/>
      </c>
      <c r="G31" s="23">
        <f>MAX(0,INDEX(DADOS_MENSAIS!E:E,12)-INDEX(DADOS_MENSAIS!E:E,11))</f>
        <v/>
      </c>
      <c r="H31" s="2" t="n"/>
      <c r="I31" s="2" t="n"/>
      <c r="J31" s="2" t="n"/>
      <c r="K31" s="2" t="n"/>
      <c r="L31" s="2" t="n"/>
      <c r="N31" s="24" t="inlineStr">
        <is>
          <t>Fev</t>
        </is>
      </c>
      <c r="O31" s="25">
        <f>DADOS_MENSAIS!E7</f>
        <v/>
      </c>
      <c r="P31" s="26">
        <f>IF(OR(O31="",NOT(ISNUMBER(O31))),"",REPT("▬",MAX(1,ROUND((O31-(MIN(O30:O36)))/MAX(1E-9,(MAX(O30:O36))-(MIN(O30:O36)))*10,0))))</f>
        <v/>
      </c>
    </row>
    <row r="32">
      <c r="A32" s="2" t="n"/>
      <c r="B32" s="21" t="inlineStr">
        <is>
          <t>− Contração</t>
        </is>
      </c>
      <c r="C32" s="22">
        <f>IF(G32&gt;=0,F31,F31+G32)</f>
        <v/>
      </c>
      <c r="D32" s="22">
        <f>IF(G32&gt;=0,G32,0)</f>
        <v/>
      </c>
      <c r="E32" s="22">
        <f>IF(G32&lt;0,-G32,0)</f>
        <v/>
      </c>
      <c r="F32" s="22">
        <f>F31+G32</f>
        <v/>
      </c>
      <c r="G32" s="23">
        <f>MIN(0,INDEX(DADOS_MENSAIS!E:E,12)-INDEX(DADOS_MENSAIS!E:E,11))</f>
        <v/>
      </c>
      <c r="H32" s="2" t="n"/>
      <c r="I32" s="2" t="n"/>
      <c r="J32" s="2" t="n"/>
      <c r="K32" s="2" t="n"/>
      <c r="L32" s="2" t="n"/>
      <c r="N32" s="24" t="inlineStr">
        <is>
          <t>Mar</t>
        </is>
      </c>
      <c r="O32" s="25">
        <f>DADOS_MENSAIS!E8</f>
        <v/>
      </c>
      <c r="P32" s="26">
        <f>IF(OR(O32="",NOT(ISNUMBER(O32))),"",REPT("▬",MAX(1,ROUND((O32-(MIN(O30:O36)))/MAX(1E-9,(MAX(O30:O36))-(MIN(O30:O36)))*10,0))))</f>
        <v/>
      </c>
    </row>
    <row r="33">
      <c r="A33" s="2" t="n"/>
      <c r="B33" s="21" t="inlineStr">
        <is>
          <t>MRR atual</t>
        </is>
      </c>
      <c r="C33" s="22" t="n">
        <v>0</v>
      </c>
      <c r="D33" s="22">
        <f>IF(G33&gt;=0,G33,0)</f>
        <v/>
      </c>
      <c r="E33" s="22">
        <f>IF(G33&lt;0,-G33,0)</f>
        <v/>
      </c>
      <c r="F33" s="22">
        <f>G33</f>
        <v/>
      </c>
      <c r="G33" s="23">
        <f>INDEX(DADOS_MENSAIS!E:E,12)</f>
        <v/>
      </c>
      <c r="H33" s="2" t="n"/>
      <c r="I33" s="2" t="n"/>
      <c r="J33" s="2" t="n"/>
      <c r="K33" s="2" t="n"/>
      <c r="L33" s="2" t="n"/>
      <c r="N33" s="24" t="inlineStr">
        <is>
          <t>Abr</t>
        </is>
      </c>
      <c r="O33" s="25">
        <f>DADOS_MENSAIS!E9</f>
        <v/>
      </c>
      <c r="P33" s="26">
        <f>IF(OR(O33="",NOT(ISNUMBER(O33))),"",REPT("▬",MAX(1,ROUND((O33-(MIN(O30:O36)))/MAX(1E-9,(MAX(O30:O36))-(MIN(O30:O36)))*10,0))))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N34" s="24" t="inlineStr">
        <is>
          <t>Mai</t>
        </is>
      </c>
      <c r="O34" s="25">
        <f>DADOS_MENSAIS!E10</f>
        <v/>
      </c>
      <c r="P34" s="26">
        <f>IF(OR(O34="",NOT(ISNUMBER(O34))),"",REPT("▬",MAX(1,ROUND((O34-(MIN(O30:O36)))/MAX(1E-9,(MAX(O30:O36))-(MIN(O30:O36)))*10,0))))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N35" s="24" t="inlineStr">
        <is>
          <t>Jun</t>
        </is>
      </c>
      <c r="O35" s="25">
        <f>DADOS_MENSAIS!E11</f>
        <v/>
      </c>
      <c r="P35" s="26">
        <f>IF(OR(O35="",NOT(ISNUMBER(O35))),"",REPT("▬",MAX(1,ROUND((O35-(MIN(O30:O36)))/MAX(1E-9,(MAX(O30:O36))-(MIN(O30:O36)))*10,0))))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N36" s="24" t="inlineStr">
        <is>
          <t>Jul</t>
        </is>
      </c>
      <c r="O36" s="25">
        <f>DADOS_MENSAIS!E12</f>
        <v/>
      </c>
      <c r="P36" s="26">
        <f>IF(OR(O36="",NOT(ISNUMBER(O36))),"",REPT("▬",MAX(1,ROUND((O36-(MIN(O30:O36)))/MAX(1E-9,(MAX(O30:O36))-(MIN(O30:O36)))*10,0))))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17" t="inlineStr">
        <is>
          <t>MINI-SPARKLINES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 ht="26" customHeight="1">
      <c r="A39" s="2" t="n"/>
      <c r="B39" s="19" t="inlineStr">
        <is>
          <t>Indicador</t>
        </is>
      </c>
      <c r="C39" s="19" t="inlineStr">
        <is>
          <t>Atual</t>
        </is>
      </c>
      <c r="D39" s="19" t="inlineStr">
        <is>
          <t>S1</t>
        </is>
      </c>
      <c r="E39" s="19" t="inlineStr">
        <is>
          <t>S2</t>
        </is>
      </c>
      <c r="F39" s="19" t="inlineStr">
        <is>
          <t>S3</t>
        </is>
      </c>
      <c r="G39" s="19" t="inlineStr">
        <is>
          <t>S4</t>
        </is>
      </c>
      <c r="H39" s="19" t="inlineStr">
        <is>
          <t>S5</t>
        </is>
      </c>
      <c r="I39" s="19" t="inlineStr">
        <is>
          <t>S6</t>
        </is>
      </c>
      <c r="J39" s="19" t="inlineStr">
        <is>
          <t>Spark</t>
        </is>
      </c>
      <c r="K39" s="2" t="n"/>
      <c r="L39" s="2" t="n"/>
    </row>
    <row r="40">
      <c r="A40" s="2" t="n"/>
      <c r="B40" s="21" t="inlineStr">
        <is>
          <t>MRR</t>
        </is>
      </c>
      <c r="C40" s="27">
        <f>$Z$40</f>
        <v/>
      </c>
      <c r="D40" s="28" t="n">
        <v>18000</v>
      </c>
      <c r="E40" s="28" t="n">
        <v>22400</v>
      </c>
      <c r="F40" s="28" t="n">
        <v>27200</v>
      </c>
      <c r="G40" s="28" t="n">
        <v>30100</v>
      </c>
      <c r="H40" s="28" t="n">
        <v>35600</v>
      </c>
      <c r="I40" s="28">
        <f>$Z$40</f>
        <v/>
      </c>
      <c r="J40" s="29">
        <f>IF(D40=""," ",MID("▁▂▃▄▅▆▇█",MAX(1,MIN(8,ROUND((D40-(MIN(D40:I40)))/MAX(1E-9,(MAX(D40:I40))-(MIN(D40:I40)))*7+1,0))),1))&amp;IF(E40=""," ",MID("▁▂▃▄▅▆▇█",MAX(1,MIN(8,ROUND((E40-(MIN(D40:I40)))/MAX(1E-9,(MAX(D40:I40))-(MIN(D40:I40)))*7+1,0))),1))&amp;IF(F40=""," ",MID("▁▂▃▄▅▆▇█",MAX(1,MIN(8,ROUND((F40-(MIN(D40:I40)))/MAX(1E-9,(MAX(D40:I40))-(MIN(D40:I40)))*7+1,0))),1))&amp;IF(G40=""," ",MID("▁▂▃▄▅▆▇█",MAX(1,MIN(8,ROUND((G40-(MIN(D40:I40)))/MAX(1E-9,(MAX(D40:I40))-(MIN(D40:I40)))*7+1,0))),1))&amp;IF(H40=""," ",MID("▁▂▃▄▅▆▇█",MAX(1,MIN(8,ROUND((H40-(MIN(D40:I40)))/MAX(1E-9,(MAX(D40:I40))-(MIN(D40:I40)))*7+1,0))),1))&amp;IF(I40=""," ",MID("▁▂▃▄▅▆▇█",MAX(1,MIN(8,ROUND((I40-(MIN(D40:I40)))/MAX(1E-9,(MAX(D40:I40))-(MIN(D40:I40)))*7+1,0))),1))</f>
        <v/>
      </c>
      <c r="K40" s="2" t="n"/>
      <c r="L40" s="2" t="n"/>
      <c r="Z40" s="30">
        <f>INDEX(DADOS_MENSAIS!E:E,12)</f>
        <v/>
      </c>
    </row>
    <row r="41">
      <c r="A41" s="2" t="n"/>
      <c r="B41" s="21" t="inlineStr">
        <is>
          <t>Churn %</t>
        </is>
      </c>
      <c r="C41" s="27">
        <f>$Z$42*100</f>
        <v/>
      </c>
      <c r="D41" s="28" t="n">
        <v>5</v>
      </c>
      <c r="E41" s="28" t="n">
        <v>4.5</v>
      </c>
      <c r="F41" s="28" t="n">
        <v>4.2</v>
      </c>
      <c r="G41" s="28" t="n">
        <v>4</v>
      </c>
      <c r="H41" s="28" t="n">
        <v>3.9</v>
      </c>
      <c r="I41" s="28">
        <f>$Z$42*100</f>
        <v/>
      </c>
      <c r="J41" s="29">
        <f>IF(D41=""," ",MID("▁▂▃▄▅▆▇█",MAX(1,MIN(8,ROUND((D41-(MIN(D41:I41)))/MAX(1E-9,(MAX(D41:I41))-(MIN(D41:I41)))*7+1,0))),1))&amp;IF(E41=""," ",MID("▁▂▃▄▅▆▇█",MAX(1,MIN(8,ROUND((E41-(MIN(D41:I41)))/MAX(1E-9,(MAX(D41:I41))-(MIN(D41:I41)))*7+1,0))),1))&amp;IF(F41=""," ",MID("▁▂▃▄▅▆▇█",MAX(1,MIN(8,ROUND((F41-(MIN(D41:I41)))/MAX(1E-9,(MAX(D41:I41))-(MIN(D41:I41)))*7+1,0))),1))&amp;IF(G41=""," ",MID("▁▂▃▄▅▆▇█",MAX(1,MIN(8,ROUND((G41-(MIN(D41:I41)))/MAX(1E-9,(MAX(D41:I41))-(MIN(D41:I41)))*7+1,0))),1))&amp;IF(H41=""," ",MID("▁▂▃▄▅▆▇█",MAX(1,MIN(8,ROUND((H41-(MIN(D41:I41)))/MAX(1E-9,(MAX(D41:I41))-(MIN(D41:I41)))*7+1,0))),1))&amp;IF(I41=""," ",MID("▁▂▃▄▅▆▇█",MAX(1,MIN(8,ROUND((I41-(MIN(D41:I41)))/MAX(1E-9,(MAX(D41:I41))-(MIN(D41:I41)))*7+1,0))),1))</f>
        <v/>
      </c>
      <c r="K41" s="2" t="n"/>
      <c r="L41" s="2" t="n"/>
      <c r="Z41" s="30">
        <f>IFERROR(INDEX(DADOS_MENSAIS!E:E,12)/INDEX(DADOS_MENSAIS!E:E,11)-1,0)</f>
        <v/>
      </c>
    </row>
    <row r="42">
      <c r="A42" s="2" t="n"/>
      <c r="B42" s="21" t="inlineStr">
        <is>
          <t>LTV/CAC</t>
        </is>
      </c>
      <c r="C42" s="27">
        <f>$Z$45</f>
        <v/>
      </c>
      <c r="D42" s="28" t="n">
        <v>8</v>
      </c>
      <c r="E42" s="28" t="n">
        <v>12</v>
      </c>
      <c r="F42" s="28" t="n">
        <v>15</v>
      </c>
      <c r="G42" s="28" t="n">
        <v>20</v>
      </c>
      <c r="H42" s="28" t="n">
        <v>24</v>
      </c>
      <c r="I42" s="28">
        <f>$Z$45</f>
        <v/>
      </c>
      <c r="J42" s="29">
        <f>IF(D42=""," ",MID("▁▂▃▄▅▆▇█",MAX(1,MIN(8,ROUND((D42-(MIN(D42:I42)))/MAX(1E-9,(MAX(D42:I42))-(MIN(D42:I42)))*7+1,0))),1))&amp;IF(E42=""," ",MID("▁▂▃▄▅▆▇█",MAX(1,MIN(8,ROUND((E42-(MIN(D42:I42)))/MAX(1E-9,(MAX(D42:I42))-(MIN(D42:I42)))*7+1,0))),1))&amp;IF(F42=""," ",MID("▁▂▃▄▅▆▇█",MAX(1,MIN(8,ROUND((F42-(MIN(D42:I42)))/MAX(1E-9,(MAX(D42:I42))-(MIN(D42:I42)))*7+1,0))),1))&amp;IF(G42=""," ",MID("▁▂▃▄▅▆▇█",MAX(1,MIN(8,ROUND((G42-(MIN(D42:I42)))/MAX(1E-9,(MAX(D42:I42))-(MIN(D42:I42)))*7+1,0))),1))&amp;IF(H42=""," ",MID("▁▂▃▄▅▆▇█",MAX(1,MIN(8,ROUND((H42-(MIN(D42:I42)))/MAX(1E-9,(MAX(D42:I42))-(MIN(D42:I42)))*7+1,0))),1))&amp;IF(I42=""," ",MID("▁▂▃▄▅▆▇█",MAX(1,MIN(8,ROUND((I42-(MIN(D42:I42)))/MAX(1E-9,(MAX(D42:I42))-(MIN(D42:I42)))*7+1,0))),1))</f>
        <v/>
      </c>
      <c r="K42" s="2" t="n"/>
      <c r="L42" s="2" t="n"/>
      <c r="Z42" s="30">
        <f>IFERROR(INDEX(DADOS_MENSAIS!C:C,12)/INDEX(DADOS_MENSAIS!D:D,11),0)</f>
        <v/>
      </c>
    </row>
    <row r="43">
      <c r="A43" s="2" t="n"/>
      <c r="B43" s="21" t="inlineStr">
        <is>
          <t>CAC</t>
        </is>
      </c>
      <c r="C43" s="27">
        <f>$Z$43</f>
        <v/>
      </c>
      <c r="D43" s="28" t="n">
        <v>400</v>
      </c>
      <c r="E43" s="28" t="n">
        <v>360</v>
      </c>
      <c r="F43" s="28" t="n">
        <v>330</v>
      </c>
      <c r="G43" s="28" t="n">
        <v>300</v>
      </c>
      <c r="H43" s="28" t="n">
        <v>290</v>
      </c>
      <c r="I43" s="28">
        <f>$Z$43</f>
        <v/>
      </c>
      <c r="J43" s="29">
        <f>IF(D43=""," ",MID("▁▂▃▄▅▆▇█",MAX(1,MIN(8,ROUND((D43-(MIN(D43:I43)))/MAX(1E-9,(MAX(D43:I43))-(MIN(D43:I43)))*7+1,0))),1))&amp;IF(E43=""," ",MID("▁▂▃▄▅▆▇█",MAX(1,MIN(8,ROUND((E43-(MIN(D43:I43)))/MAX(1E-9,(MAX(D43:I43))-(MIN(D43:I43)))*7+1,0))),1))&amp;IF(F43=""," ",MID("▁▂▃▄▅▆▇█",MAX(1,MIN(8,ROUND((F43-(MIN(D43:I43)))/MAX(1E-9,(MAX(D43:I43))-(MIN(D43:I43)))*7+1,0))),1))&amp;IF(G43=""," ",MID("▁▂▃▄▅▆▇█",MAX(1,MIN(8,ROUND((G43-(MIN(D43:I43)))/MAX(1E-9,(MAX(D43:I43))-(MIN(D43:I43)))*7+1,0))),1))&amp;IF(H43=""," ",MID("▁▂▃▄▅▆▇█",MAX(1,MIN(8,ROUND((H43-(MIN(D43:I43)))/MAX(1E-9,(MAX(D43:I43))-(MIN(D43:I43)))*7+1,0))),1))&amp;IF(I43=""," ",MID("▁▂▃▄▅▆▇█",MAX(1,MIN(8,ROUND((I43-(MIN(D43:I43)))/MAX(1E-9,(MAX(D43:I43))-(MIN(D43:I43)))*7+1,0))),1))</f>
        <v/>
      </c>
      <c r="K43" s="2" t="n"/>
      <c r="L43" s="2" t="n"/>
      <c r="Z43" s="30">
        <f>IFERROR(INDEX(DADOS_MENSAIS!F:F,12)/INDEX(DADOS_MENSAIS!B:B,12),0)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30">
        <f>IFERROR(INDEX(DADOS_MENSAIS!H:H,12)/MAX(Z42,0.01),0)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Z45" s="30">
        <f>IFERROR(Z44/Z43,0)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Z46" s="30">
        <f>INDEX(DADOS_MENSAIS!D:D,12)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Z47" s="30">
        <f>INDEX(DADOS_MENSAIS!E:E,12)-INDEX(DADOS_MENSAIS!G:G,12)-INDEX(DADOS_MENSAIS!F:F,12)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</sheetData>
  <mergeCells count="28">
    <mergeCell ref="F11:G11"/>
    <mergeCell ref="D10:E10"/>
    <mergeCell ref="B7:C7"/>
    <mergeCell ref="J5:K5"/>
    <mergeCell ref="F10:G10"/>
    <mergeCell ref="F6:G6"/>
    <mergeCell ref="A3:L3"/>
    <mergeCell ref="F7:G7"/>
    <mergeCell ref="D6:E6"/>
    <mergeCell ref="A2:L2"/>
    <mergeCell ref="H6:I6"/>
    <mergeCell ref="B11:C11"/>
    <mergeCell ref="J6:K6"/>
    <mergeCell ref="D11:E11"/>
    <mergeCell ref="F5:G5"/>
    <mergeCell ref="D7:E7"/>
    <mergeCell ref="H7:I7"/>
    <mergeCell ref="J7:K7"/>
    <mergeCell ref="B10:C10"/>
    <mergeCell ref="B9:C9"/>
    <mergeCell ref="D9:E9"/>
    <mergeCell ref="F9:G9"/>
    <mergeCell ref="B6:C6"/>
    <mergeCell ref="B5:C5"/>
    <mergeCell ref="B13:K13"/>
    <mergeCell ref="A1:L1"/>
    <mergeCell ref="D5:E5"/>
    <mergeCell ref="H5:I5"/>
  </mergeCells>
  <conditionalFormatting sqref="G30:G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40:C43">
    <cfRule type="dataBar" priority="3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0" customHeight="1">
      <c r="A2" s="3" t="inlineStr">
        <is>
          <t>Dados Mensais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4" t="inlineStr">
        <is>
          <t>Preencha 8 números por mês — o BI monta os indicadores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6" customHeight="1">
      <c r="A5" s="19" t="inlineStr">
        <is>
          <t>Mês</t>
        </is>
      </c>
      <c r="B5" s="19" t="inlineStr">
        <is>
          <t>Novos clientes</t>
        </is>
      </c>
      <c r="C5" s="19" t="inlineStr">
        <is>
          <t>Cancelados</t>
        </is>
      </c>
      <c r="D5" s="19" t="inlineStr">
        <is>
          <t>Clientes ativos</t>
        </is>
      </c>
      <c r="E5" s="19" t="inlineStr">
        <is>
          <t>Receita (MRR)</t>
        </is>
      </c>
      <c r="F5" s="19" t="inlineStr">
        <is>
          <t>Invest. Mkt/Vendas</t>
        </is>
      </c>
      <c r="G5" s="19" t="inlineStr">
        <is>
          <t>Custo operacional</t>
        </is>
      </c>
      <c r="H5" s="19" t="inlineStr">
        <is>
          <t>Ticket médio</t>
        </is>
      </c>
      <c r="I5" s="2" t="n"/>
      <c r="J5" s="2" t="n"/>
    </row>
    <row r="6">
      <c r="A6" s="31" t="inlineStr">
        <is>
          <t>Jan</t>
        </is>
      </c>
      <c r="B6" s="32" t="n">
        <v>12</v>
      </c>
      <c r="C6" s="32" t="n">
        <v>2</v>
      </c>
      <c r="D6" s="32" t="n">
        <v>60</v>
      </c>
      <c r="E6" s="33" t="n">
        <v>18000</v>
      </c>
      <c r="F6" s="33" t="n">
        <v>4200</v>
      </c>
      <c r="G6" s="33" t="n">
        <v>9000</v>
      </c>
      <c r="H6" s="33" t="n">
        <v>300</v>
      </c>
      <c r="I6" s="2" t="n"/>
      <c r="J6" s="2" t="n"/>
    </row>
    <row r="7">
      <c r="A7" s="31" t="inlineStr">
        <is>
          <t>Fev</t>
        </is>
      </c>
      <c r="B7" s="32" t="n">
        <v>15</v>
      </c>
      <c r="C7" s="32" t="n">
        <v>3</v>
      </c>
      <c r="D7" s="32" t="n">
        <v>72</v>
      </c>
      <c r="E7" s="33" t="n">
        <v>22400</v>
      </c>
      <c r="F7" s="33" t="n">
        <v>4800</v>
      </c>
      <c r="G7" s="33" t="n">
        <v>9800</v>
      </c>
      <c r="H7" s="33" t="n">
        <v>311</v>
      </c>
      <c r="I7" s="2" t="n"/>
      <c r="J7" s="2" t="n"/>
    </row>
    <row r="8">
      <c r="A8" s="31" t="inlineStr">
        <is>
          <t>Mar</t>
        </is>
      </c>
      <c r="B8" s="32" t="n">
        <v>18</v>
      </c>
      <c r="C8" s="32" t="n">
        <v>4</v>
      </c>
      <c r="D8" s="32" t="n">
        <v>86</v>
      </c>
      <c r="E8" s="33" t="n">
        <v>27200</v>
      </c>
      <c r="F8" s="33" t="n">
        <v>5200</v>
      </c>
      <c r="G8" s="33" t="n">
        <v>10500</v>
      </c>
      <c r="H8" s="33" t="n">
        <v>316</v>
      </c>
      <c r="I8" s="2" t="n"/>
      <c r="J8" s="2" t="n"/>
    </row>
    <row r="9">
      <c r="A9" s="31" t="inlineStr">
        <is>
          <t>Abr</t>
        </is>
      </c>
      <c r="B9" s="32" t="n">
        <v>14</v>
      </c>
      <c r="C9" s="32" t="n">
        <v>5</v>
      </c>
      <c r="D9" s="32" t="n">
        <v>95</v>
      </c>
      <c r="E9" s="33" t="n">
        <v>30100</v>
      </c>
      <c r="F9" s="33" t="n">
        <v>5000</v>
      </c>
      <c r="G9" s="33" t="n">
        <v>11000</v>
      </c>
      <c r="H9" s="33" t="n">
        <v>317</v>
      </c>
      <c r="I9" s="2" t="n"/>
      <c r="J9" s="2" t="n"/>
    </row>
    <row r="10">
      <c r="A10" s="31" t="inlineStr">
        <is>
          <t>Mai</t>
        </is>
      </c>
      <c r="B10" s="32" t="n">
        <v>20</v>
      </c>
      <c r="C10" s="32" t="n">
        <v>4</v>
      </c>
      <c r="D10" s="32" t="n">
        <v>111</v>
      </c>
      <c r="E10" s="33" t="n">
        <v>35600</v>
      </c>
      <c r="F10" s="33" t="n">
        <v>6100</v>
      </c>
      <c r="G10" s="33" t="n">
        <v>12000</v>
      </c>
      <c r="H10" s="33" t="n">
        <v>321</v>
      </c>
      <c r="I10" s="2" t="n"/>
      <c r="J10" s="2" t="n"/>
    </row>
    <row r="11">
      <c r="A11" s="31" t="inlineStr">
        <is>
          <t>Jun</t>
        </is>
      </c>
      <c r="B11" s="32" t="n">
        <v>22</v>
      </c>
      <c r="C11" s="32" t="n">
        <v>6</v>
      </c>
      <c r="D11" s="32" t="n">
        <v>127</v>
      </c>
      <c r="E11" s="33" t="n">
        <v>41200</v>
      </c>
      <c r="F11" s="33" t="n">
        <v>6800</v>
      </c>
      <c r="G11" s="33" t="n">
        <v>12800</v>
      </c>
      <c r="H11" s="33" t="n">
        <v>324</v>
      </c>
      <c r="I11" s="2" t="n"/>
      <c r="J11" s="2" t="n"/>
    </row>
    <row r="12">
      <c r="A12" s="31" t="inlineStr">
        <is>
          <t>Jul</t>
        </is>
      </c>
      <c r="B12" s="32" t="n">
        <v>25</v>
      </c>
      <c r="C12" s="32" t="n">
        <v>5</v>
      </c>
      <c r="D12" s="32" t="n">
        <v>147</v>
      </c>
      <c r="E12" s="33" t="n">
        <v>47500</v>
      </c>
      <c r="F12" s="33" t="n">
        <v>7200</v>
      </c>
      <c r="G12" s="33" t="n">
        <v>13500</v>
      </c>
      <c r="H12" s="33" t="n">
        <v>323</v>
      </c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3">
    <mergeCell ref="A3:H3"/>
    <mergeCell ref="A2:H2"/>
    <mergeCell ref="A1:H1"/>
  </mergeCells>
  <conditionalFormatting sqref="F6:F12">
    <cfRule type="dataBar" priority="1">
      <dataBar>
        <cfvo type="min"/>
        <cfvo type="max"/>
        <color rgb="00C99C66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2026-07-22T18:16:58Z</dcterms:created>
  <dcterms:modified xmlns:dcterms="http://purl.org/dc/terms/" xmlns:xsi="http://www.w3.org/2001/XMLSchema-instance" xsi:type="dcterms:W3CDTF">2026-07-22T18:16:58Z</dcterms:modified>
</cp:coreProperties>
</file>