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OVI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name val="Calibri"/>
      <b val="1"/>
      <color rgb="00FFFFFF"/>
      <sz val="11"/>
    </font>
    <font>
      <b val="1"/>
    </font>
    <font>
      <b val="1"/>
      <sz val="14"/>
    </font>
    <font>
      <b val="1"/>
      <color rgb="009A3412"/>
    </font>
  </fonts>
  <fills count="4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166" fontId="0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'MOVIMENTOS'!E4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'MOVIMENTOS'!$A$5:$A$22</f>
            </numRef>
          </cat>
          <val>
            <numRef>
              <f>'MOVIMENTOS'!$E$5:$E$22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Trust Excel · Resumo do Caixa</t>
        </is>
      </c>
    </row>
    <row r="2">
      <c r="A2" s="2" t="inlineStr">
        <is>
          <t>Saldo hoje e projeção automática 30 dias</t>
        </is>
      </c>
    </row>
    <row r="3"/>
    <row r="4">
      <c r="A4" s="3" t="inlineStr">
        <is>
          <t>Saldo Hoje (realizado)</t>
        </is>
      </c>
      <c r="B4" s="4">
        <f>LOOKUP(2,1/(MOVIMENTOS!F5:F200="Realizado"),MOVIMENTOS!E5:E200)</f>
        <v/>
      </c>
    </row>
    <row r="5">
      <c r="A5" s="3" t="inlineStr">
        <is>
          <t>Entradas previstas (30 dias)</t>
        </is>
      </c>
      <c r="B5" s="4">
        <f>SUMIFS(MOVIMENTOS!C:C,MOVIMENTOS!F:F,"Previsto",MOVIMENTOS!A:A,"&gt;="&amp;TODAY(),MOVIMENTOS!A:A,"&lt;="&amp;TODAY()+30)</f>
        <v/>
      </c>
    </row>
    <row r="6">
      <c r="A6" s="3" t="inlineStr">
        <is>
          <t>Saídas previstas (30 dias)</t>
        </is>
      </c>
      <c r="B6" s="4">
        <f>SUMIFS(MOVIMENTOS!D:D,MOVIMENTOS!F:F,"Previsto",MOVIMENTOS!A:A,"&gt;="&amp;TODAY(),MOVIMENTOS!A:A,"&lt;="&amp;TODAY()+30)</f>
        <v/>
      </c>
    </row>
    <row r="7">
      <c r="A7" s="3" t="inlineStr">
        <is>
          <t>Saldo projetado em 30 dias</t>
        </is>
      </c>
      <c r="B7" s="5">
        <f>B4+B5-B6</f>
        <v/>
      </c>
    </row>
    <row r="8"/>
    <row r="9">
      <c r="A9" t="inlineStr">
        <is>
          <t>Alerta</t>
        </is>
      </c>
      <c r="B9" s="6">
        <f>IF(B7&lt;0,"⚠ Caixa negativo em 30 dias — agir agora","✓ Projeção saudável nos próximos 30 dias")</f>
        <v/>
      </c>
    </row>
    <row r="10"/>
    <row r="11"/>
    <row r="12">
      <c r="A12" t="inlineStr">
        <is>
          <t>Automação: lance realizados e previstos em MOVIMENTOS. O saldo e a projeção de 30 dias atualizam sozinhos.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12" customWidth="1" min="4" max="4"/>
    <col width="28" customWidth="1" min="5" max="5"/>
    <col width="12" customWidth="1" min="6" max="6"/>
  </cols>
  <sheetData>
    <row r="1" ht="28" customHeight="1">
      <c r="A1" s="1" t="inlineStr">
        <is>
          <t>Trust Excel · Fluxo de Caixa</t>
        </is>
      </c>
    </row>
    <row r="2">
      <c r="A2" s="2" t="inlineStr">
        <is>
          <t>Realizado + previsto · saldo acumulado automático</t>
        </is>
      </c>
    </row>
    <row r="3"/>
    <row r="4">
      <c r="A4" s="7" t="inlineStr">
        <is>
          <t>Data</t>
        </is>
      </c>
      <c r="B4" s="7" t="inlineStr">
        <is>
          <t>Descrição</t>
        </is>
      </c>
      <c r="C4" s="7" t="inlineStr">
        <is>
          <t>Entrada</t>
        </is>
      </c>
      <c r="D4" s="7" t="inlineStr">
        <is>
          <t>Saída</t>
        </is>
      </c>
      <c r="E4" s="7" t="inlineStr">
        <is>
          <t>Saldo Acumulado</t>
        </is>
      </c>
      <c r="F4" s="7" t="inlineStr">
        <is>
          <t>Status</t>
        </is>
      </c>
    </row>
    <row r="5">
      <c r="A5" s="8" t="n">
        <v>46205</v>
      </c>
      <c r="B5" s="9" t="inlineStr">
        <is>
          <t>Custo fixo/variável</t>
        </is>
      </c>
      <c r="C5" s="4" t="n"/>
      <c r="D5" s="4" t="n">
        <v>450</v>
      </c>
      <c r="E5" s="4">
        <f>12000+IF(C5="",0,C5)-IF(D5="",0,D5)</f>
        <v/>
      </c>
      <c r="F5" s="9" t="inlineStr">
        <is>
          <t>Realizado</t>
        </is>
      </c>
    </row>
    <row r="6">
      <c r="A6" s="8" t="n">
        <v>46207</v>
      </c>
      <c r="B6" s="9" t="inlineStr">
        <is>
          <t>Recebimento</t>
        </is>
      </c>
      <c r="C6" s="4" t="n">
        <v>3500</v>
      </c>
      <c r="D6" s="4" t="n"/>
      <c r="E6" s="4">
        <f>E5+IF(C6="",0,C6)-IF(D6="",0,D6)</f>
        <v/>
      </c>
      <c r="F6" s="9" t="inlineStr">
        <is>
          <t>Realizado</t>
        </is>
      </c>
    </row>
    <row r="7">
      <c r="A7" s="8" t="n">
        <v>46209</v>
      </c>
      <c r="B7" s="9" t="inlineStr">
        <is>
          <t>Custo fixo/variável</t>
        </is>
      </c>
      <c r="C7" s="4" t="n"/>
      <c r="D7" s="4" t="n">
        <v>360</v>
      </c>
      <c r="E7" s="4">
        <f>E6+IF(C7="",0,C7)-IF(D7="",0,D7)</f>
        <v/>
      </c>
      <c r="F7" s="9" t="inlineStr">
        <is>
          <t>Realizado</t>
        </is>
      </c>
    </row>
    <row r="8">
      <c r="A8" s="8" t="n">
        <v>46211</v>
      </c>
      <c r="B8" s="9" t="inlineStr">
        <is>
          <t>Custo fixo/variável</t>
        </is>
      </c>
      <c r="C8" s="4" t="n"/>
      <c r="D8" s="4" t="n">
        <v>390</v>
      </c>
      <c r="E8" s="4">
        <f>E7+IF(C8="",0,C8)-IF(D8="",0,D8)</f>
        <v/>
      </c>
      <c r="F8" s="9" t="inlineStr">
        <is>
          <t>Realizado</t>
        </is>
      </c>
    </row>
    <row r="9">
      <c r="A9" s="8" t="n">
        <v>46213</v>
      </c>
      <c r="B9" s="9" t="inlineStr">
        <is>
          <t>Despesa operacional</t>
        </is>
      </c>
      <c r="C9" s="4" t="n"/>
      <c r="D9" s="4" t="n">
        <v>800</v>
      </c>
      <c r="E9" s="4">
        <f>E8+IF(C9="",0,C9)-IF(D9="",0,D9)</f>
        <v/>
      </c>
      <c r="F9" s="9" t="inlineStr">
        <is>
          <t>Realizado</t>
        </is>
      </c>
    </row>
    <row r="10">
      <c r="A10" s="8" t="n">
        <v>46215</v>
      </c>
      <c r="B10" s="9" t="inlineStr">
        <is>
          <t>Custo fixo/variável</t>
        </is>
      </c>
      <c r="C10" s="4" t="n"/>
      <c r="D10" s="4" t="n">
        <v>450</v>
      </c>
      <c r="E10" s="4">
        <f>E9+IF(C10="",0,C10)-IF(D10="",0,D10)</f>
        <v/>
      </c>
      <c r="F10" s="9" t="inlineStr">
        <is>
          <t>Realizado</t>
        </is>
      </c>
    </row>
    <row r="11">
      <c r="A11" s="8" t="n">
        <v>46217</v>
      </c>
      <c r="B11" s="9" t="inlineStr">
        <is>
          <t>Custo fixo/variável</t>
        </is>
      </c>
      <c r="C11" s="4" t="n"/>
      <c r="D11" s="4" t="n">
        <v>330</v>
      </c>
      <c r="E11" s="4">
        <f>E10+IF(C11="",0,C11)-IF(D11="",0,D11)</f>
        <v/>
      </c>
      <c r="F11" s="9" t="inlineStr">
        <is>
          <t>Realizado</t>
        </is>
      </c>
    </row>
    <row r="12">
      <c r="A12" s="8" t="n">
        <v>46219</v>
      </c>
      <c r="B12" s="9" t="inlineStr">
        <is>
          <t>Despesa operacional</t>
        </is>
      </c>
      <c r="C12" s="4" t="n"/>
      <c r="D12" s="4" t="n">
        <v>800</v>
      </c>
      <c r="E12" s="4">
        <f>E11+IF(C12="",0,C12)-IF(D12="",0,D12)</f>
        <v/>
      </c>
      <c r="F12" s="9" t="inlineStr">
        <is>
          <t>Realizado</t>
        </is>
      </c>
    </row>
    <row r="13">
      <c r="A13" s="8" t="n">
        <v>46221</v>
      </c>
      <c r="B13" s="9" t="inlineStr">
        <is>
          <t>Custo fixo/variável</t>
        </is>
      </c>
      <c r="C13" s="4" t="n"/>
      <c r="D13" s="4" t="n">
        <v>390</v>
      </c>
      <c r="E13" s="4">
        <f>E12+IF(C13="",0,C13)-IF(D13="",0,D13)</f>
        <v/>
      </c>
      <c r="F13" s="9" t="inlineStr">
        <is>
          <t>Realizado</t>
        </is>
      </c>
    </row>
    <row r="14">
      <c r="A14" s="8" t="n">
        <v>46223</v>
      </c>
      <c r="B14" s="9" t="inlineStr">
        <is>
          <t>Custo fixo/variável</t>
        </is>
      </c>
      <c r="C14" s="4" t="n"/>
      <c r="D14" s="4" t="n">
        <v>420</v>
      </c>
      <c r="E14" s="4">
        <f>E13+IF(C14="",0,C14)-IF(D14="",0,D14)</f>
        <v/>
      </c>
      <c r="F14" s="9" t="inlineStr">
        <is>
          <t>Realizado</t>
        </is>
      </c>
    </row>
    <row r="15">
      <c r="A15" s="8" t="n">
        <v>46228</v>
      </c>
      <c r="B15" s="9" t="inlineStr">
        <is>
          <t>Recebimento cliente</t>
        </is>
      </c>
      <c r="C15" s="4" t="n">
        <v>4200</v>
      </c>
      <c r="D15" s="4" t="n"/>
      <c r="E15" s="4">
        <f>E14+IF(C15="",0,C15)-IF(D15="",0,D15)</f>
        <v/>
      </c>
      <c r="F15" s="9" t="inlineStr">
        <is>
          <t>Previsto</t>
        </is>
      </c>
    </row>
    <row r="16">
      <c r="A16" s="8" t="n">
        <v>46230</v>
      </c>
      <c r="B16" s="9" t="inlineStr">
        <is>
          <t>Aluguel</t>
        </is>
      </c>
      <c r="C16" s="4" t="n"/>
      <c r="D16" s="4" t="n">
        <v>2200</v>
      </c>
      <c r="E16" s="4">
        <f>E15+IF(C16="",0,C16)-IF(D16="",0,D16)</f>
        <v/>
      </c>
      <c r="F16" s="9" t="inlineStr">
        <is>
          <t>Previsto</t>
        </is>
      </c>
    </row>
    <row r="17">
      <c r="A17" s="8" t="n">
        <v>46233</v>
      </c>
      <c r="B17" s="9" t="inlineStr">
        <is>
          <t>Folha / pró-labore</t>
        </is>
      </c>
      <c r="C17" s="4" t="n"/>
      <c r="D17" s="4" t="n">
        <v>3800</v>
      </c>
      <c r="E17" s="4">
        <f>E16+IF(C17="",0,C17)-IF(D17="",0,D17)</f>
        <v/>
      </c>
      <c r="F17" s="9" t="inlineStr">
        <is>
          <t>Previsto</t>
        </is>
      </c>
    </row>
    <row r="18">
      <c r="A18" s="8" t="n">
        <v>46237</v>
      </c>
      <c r="B18" s="9" t="inlineStr">
        <is>
          <t>Recebimento projeto</t>
        </is>
      </c>
      <c r="C18" s="4" t="n">
        <v>3000</v>
      </c>
      <c r="D18" s="4" t="n"/>
      <c r="E18" s="4">
        <f>E17+IF(C18="",0,C18)-IF(D18="",0,D18)</f>
        <v/>
      </c>
      <c r="F18" s="9" t="inlineStr">
        <is>
          <t>Previsto</t>
        </is>
      </c>
    </row>
    <row r="19">
      <c r="A19" s="8" t="n">
        <v>46240</v>
      </c>
      <c r="B19" s="9" t="inlineStr">
        <is>
          <t>Impostos</t>
        </is>
      </c>
      <c r="C19" s="4" t="n"/>
      <c r="D19" s="4" t="n">
        <v>1100</v>
      </c>
      <c r="E19" s="4">
        <f>E18+IF(C19="",0,C19)-IF(D19="",0,D19)</f>
        <v/>
      </c>
      <c r="F19" s="9" t="inlineStr">
        <is>
          <t>Previsto</t>
        </is>
      </c>
    </row>
    <row r="20">
      <c r="A20" s="8" t="n">
        <v>46245</v>
      </c>
      <c r="B20" s="9" t="inlineStr">
        <is>
          <t>Fornecedor</t>
        </is>
      </c>
      <c r="C20" s="4" t="n"/>
      <c r="D20" s="4" t="n">
        <v>900</v>
      </c>
      <c r="E20" s="4">
        <f>E19+IF(C20="",0,C20)-IF(D20="",0,D20)</f>
        <v/>
      </c>
      <c r="F20" s="9" t="inlineStr">
        <is>
          <t>Previsto</t>
        </is>
      </c>
    </row>
    <row r="21">
      <c r="A21" s="8" t="n">
        <v>46250</v>
      </c>
      <c r="B21" s="9" t="inlineStr">
        <is>
          <t>Recebimento recorrente</t>
        </is>
      </c>
      <c r="C21" s="4" t="n">
        <v>2500</v>
      </c>
      <c r="D21" s="4" t="n"/>
      <c r="E21" s="4">
        <f>E20+IF(C21="",0,C21)-IF(D21="",0,D21)</f>
        <v/>
      </c>
      <c r="F21" s="9" t="inlineStr">
        <is>
          <t>Previsto</t>
        </is>
      </c>
    </row>
    <row r="22">
      <c r="A22" s="8" t="n">
        <v>46253</v>
      </c>
      <c r="B22" s="9" t="inlineStr">
        <is>
          <t>Parcelas</t>
        </is>
      </c>
      <c r="C22" s="4" t="n"/>
      <c r="D22" s="4" t="n">
        <v>700</v>
      </c>
      <c r="E22" s="4">
        <f>E21+IF(C22="",0,C22)-IF(D22="",0,D22)</f>
        <v/>
      </c>
      <c r="F22" s="9" t="inlineStr">
        <is>
          <t>Previsto</t>
        </is>
      </c>
    </row>
    <row r="23">
      <c r="A23" s="8" t="n"/>
      <c r="B23" s="9" t="n"/>
      <c r="C23" s="4" t="n"/>
      <c r="D23" s="4" t="n"/>
      <c r="E23" s="4">
        <f>IF(A23="","",IF(E22="",12000,E22)+IF(C23="",0,C23)-IF(D23="",0,D23))</f>
        <v/>
      </c>
      <c r="F23" s="9" t="n"/>
    </row>
    <row r="24">
      <c r="A24" s="8" t="n"/>
      <c r="B24" s="9" t="n"/>
      <c r="C24" s="4" t="n"/>
      <c r="D24" s="4" t="n"/>
      <c r="E24" s="4">
        <f>IF(A24="","",IF(E23="",12000,E23)+IF(C24="",0,C24)-IF(D24="",0,D24))</f>
        <v/>
      </c>
      <c r="F24" s="9" t="n"/>
    </row>
    <row r="25">
      <c r="A25" s="8" t="n"/>
      <c r="B25" s="9" t="n"/>
      <c r="C25" s="4" t="n"/>
      <c r="D25" s="4" t="n"/>
      <c r="E25" s="4">
        <f>IF(A25="","",IF(E24="",12000,E24)+IF(C25="",0,C25)-IF(D25="",0,D25))</f>
        <v/>
      </c>
      <c r="F25" s="9" t="n"/>
    </row>
    <row r="26">
      <c r="A26" s="8" t="n"/>
      <c r="B26" s="9" t="n"/>
      <c r="C26" s="4" t="n"/>
      <c r="D26" s="4" t="n"/>
      <c r="E26" s="4">
        <f>IF(A26="","",IF(E25="",12000,E25)+IF(C26="",0,C26)-IF(D26="",0,D26))</f>
        <v/>
      </c>
      <c r="F26" s="9" t="n"/>
    </row>
    <row r="27">
      <c r="A27" s="8" t="n"/>
      <c r="B27" s="9" t="n"/>
      <c r="C27" s="4" t="n"/>
      <c r="D27" s="4" t="n"/>
      <c r="E27" s="4">
        <f>IF(A27="","",IF(E26="",12000,E26)+IF(C27="",0,C27)-IF(D27="",0,D27))</f>
        <v/>
      </c>
      <c r="F27" s="9" t="n"/>
    </row>
    <row r="28">
      <c r="A28" s="8" t="n"/>
      <c r="B28" s="9" t="n"/>
      <c r="C28" s="4" t="n"/>
      <c r="D28" s="4" t="n"/>
      <c r="E28" s="4">
        <f>IF(A28="","",IF(E27="",12000,E27)+IF(C28="",0,C28)-IF(D28="",0,D28))</f>
        <v/>
      </c>
      <c r="F28" s="9" t="n"/>
    </row>
    <row r="29">
      <c r="A29" s="8" t="n"/>
      <c r="B29" s="9" t="n"/>
      <c r="C29" s="4" t="n"/>
      <c r="D29" s="4" t="n"/>
      <c r="E29" s="4">
        <f>IF(A29="","",IF(E28="",12000,E28)+IF(C29="",0,C29)-IF(D29="",0,D29))</f>
        <v/>
      </c>
      <c r="F29" s="9" t="n"/>
    </row>
    <row r="30">
      <c r="A30" s="8" t="n"/>
      <c r="B30" s="9" t="n"/>
      <c r="C30" s="4" t="n"/>
      <c r="D30" s="4" t="n"/>
      <c r="E30" s="4">
        <f>IF(A30="","",IF(E29="",12000,E29)+IF(C30="",0,C30)-IF(D30="",0,D30))</f>
        <v/>
      </c>
      <c r="F30" s="9" t="n"/>
    </row>
    <row r="31">
      <c r="A31" s="8" t="n"/>
      <c r="B31" s="9" t="n"/>
      <c r="C31" s="4" t="n"/>
      <c r="D31" s="4" t="n"/>
      <c r="E31" s="4">
        <f>IF(A31="","",IF(E30="",12000,E30)+IF(C31="",0,C31)-IF(D31="",0,D31))</f>
        <v/>
      </c>
      <c r="F31" s="9" t="n"/>
    </row>
    <row r="32">
      <c r="A32" s="8" t="n"/>
      <c r="B32" s="9" t="n"/>
      <c r="C32" s="4" t="n"/>
      <c r="D32" s="4" t="n"/>
      <c r="E32" s="4">
        <f>IF(A32="","",IF(E31="",12000,E31)+IF(C32="",0,C32)-IF(D32="",0,D32))</f>
        <v/>
      </c>
      <c r="F32" s="9" t="n"/>
    </row>
    <row r="33">
      <c r="A33" s="8" t="n"/>
      <c r="B33" s="9" t="n"/>
      <c r="C33" s="4" t="n"/>
      <c r="D33" s="4" t="n"/>
      <c r="E33" s="4">
        <f>IF(A33="","",IF(E32="",12000,E32)+IF(C33="",0,C33)-IF(D33="",0,D33))</f>
        <v/>
      </c>
      <c r="F33" s="9" t="n"/>
    </row>
    <row r="34">
      <c r="A34" s="8" t="n"/>
      <c r="B34" s="9" t="n"/>
      <c r="C34" s="4" t="n"/>
      <c r="D34" s="4" t="n"/>
      <c r="E34" s="4">
        <f>IF(A34="","",IF(E33="",12000,E33)+IF(C34="",0,C34)-IF(D34="",0,D34))</f>
        <v/>
      </c>
      <c r="F34" s="9" t="n"/>
    </row>
    <row r="35">
      <c r="A35" s="8" t="n"/>
      <c r="B35" s="9" t="n"/>
      <c r="C35" s="4" t="n"/>
      <c r="D35" s="4" t="n"/>
      <c r="E35" s="4">
        <f>IF(A35="","",IF(E34="",12000,E34)+IF(C35="",0,C35)-IF(D35="",0,D35))</f>
        <v/>
      </c>
      <c r="F35" s="9" t="n"/>
    </row>
    <row r="36">
      <c r="A36" s="8" t="n"/>
      <c r="B36" s="9" t="n"/>
      <c r="C36" s="4" t="n"/>
      <c r="D36" s="4" t="n"/>
      <c r="E36" s="4">
        <f>IF(A36="","",IF(E35="",12000,E35)+IF(C36="",0,C36)-IF(D36="",0,D36))</f>
        <v/>
      </c>
      <c r="F36" s="9" t="n"/>
    </row>
    <row r="37">
      <c r="A37" s="8" t="n"/>
      <c r="B37" s="9" t="n"/>
      <c r="C37" s="4" t="n"/>
      <c r="D37" s="4" t="n"/>
      <c r="E37" s="4">
        <f>IF(A37="","",IF(E36="",12000,E36)+IF(C37="",0,C37)-IF(D37="",0,D37))</f>
        <v/>
      </c>
      <c r="F37" s="9" t="n"/>
    </row>
    <row r="38">
      <c r="A38" s="8" t="n"/>
      <c r="B38" s="9" t="n"/>
      <c r="C38" s="4" t="n"/>
      <c r="D38" s="4" t="n"/>
      <c r="E38" s="4">
        <f>IF(A38="","",IF(E37="",12000,E37)+IF(C38="",0,C38)-IF(D38="",0,D38))</f>
        <v/>
      </c>
      <c r="F38" s="9" t="n"/>
    </row>
    <row r="39">
      <c r="A39" s="8" t="n"/>
      <c r="B39" s="9" t="n"/>
      <c r="C39" s="4" t="n"/>
      <c r="D39" s="4" t="n"/>
      <c r="E39" s="4">
        <f>IF(A39="","",IF(E38="",12000,E38)+IF(C39="",0,C39)-IF(D39="",0,D39))</f>
        <v/>
      </c>
      <c r="F39" s="9" t="n"/>
    </row>
    <row r="40">
      <c r="A40" s="8" t="n"/>
      <c r="B40" s="9" t="n"/>
      <c r="C40" s="4" t="n"/>
      <c r="D40" s="4" t="n"/>
      <c r="E40" s="4">
        <f>IF(A40="","",IF(E39="",12000,E39)+IF(C40="",0,C40)-IF(D40="",0,D40))</f>
        <v/>
      </c>
      <c r="F40" s="9" t="n"/>
    </row>
    <row r="41">
      <c r="A41" s="8" t="n"/>
      <c r="B41" s="9" t="n"/>
      <c r="C41" s="4" t="n"/>
      <c r="D41" s="4" t="n"/>
      <c r="E41" s="4">
        <f>IF(A41="","",IF(E40="",12000,E40)+IF(C41="",0,C41)-IF(D41="",0,D41))</f>
        <v/>
      </c>
      <c r="F41" s="9" t="n"/>
    </row>
    <row r="42">
      <c r="A42" s="8" t="n"/>
      <c r="B42" s="9" t="n"/>
      <c r="C42" s="4" t="n"/>
      <c r="D42" s="4" t="n"/>
      <c r="E42" s="4">
        <f>IF(A42="","",IF(E41="",12000,E41)+IF(C42="",0,C42)-IF(D42="",0,D42))</f>
        <v/>
      </c>
      <c r="F42" s="9" t="n"/>
    </row>
    <row r="43">
      <c r="A43" s="8" t="n"/>
      <c r="B43" s="9" t="n"/>
      <c r="C43" s="4" t="n"/>
      <c r="D43" s="4" t="n"/>
      <c r="E43" s="4">
        <f>IF(A43="","",IF(E42="",12000,E42)+IF(C43="",0,C43)-IF(D43="",0,D43))</f>
        <v/>
      </c>
      <c r="F43" s="9" t="n"/>
    </row>
    <row r="44">
      <c r="A44" s="8" t="n"/>
      <c r="B44" s="9" t="n"/>
      <c r="C44" s="4" t="n"/>
      <c r="D44" s="4" t="n"/>
      <c r="E44" s="4">
        <f>IF(A44="","",IF(E43="",12000,E43)+IF(C44="",0,C44)-IF(D44="",0,D44))</f>
        <v/>
      </c>
      <c r="F44" s="9" t="n"/>
    </row>
    <row r="45">
      <c r="A45" s="8" t="n"/>
      <c r="B45" s="9" t="n"/>
      <c r="C45" s="4" t="n"/>
      <c r="D45" s="4" t="n"/>
      <c r="E45" s="4">
        <f>IF(A45="","",IF(E44="",12000,E44)+IF(C45="",0,C45)-IF(D45="",0,D45))</f>
        <v/>
      </c>
      <c r="F45" s="9" t="n"/>
    </row>
    <row r="46">
      <c r="A46" s="8" t="n"/>
      <c r="B46" s="9" t="n"/>
      <c r="C46" s="4" t="n"/>
      <c r="D46" s="4" t="n"/>
      <c r="E46" s="4">
        <f>IF(A46="","",IF(E45="",12000,E45)+IF(C46="",0,C46)-IF(D46="",0,D46))</f>
        <v/>
      </c>
      <c r="F46" s="9" t="n"/>
    </row>
    <row r="47">
      <c r="A47" s="8" t="n"/>
      <c r="B47" s="9" t="n"/>
      <c r="C47" s="4" t="n"/>
      <c r="D47" s="4" t="n"/>
      <c r="E47" s="4">
        <f>IF(A47="","",IF(E46="",12000,E46)+IF(C47="",0,C47)-IF(D47="",0,D47))</f>
        <v/>
      </c>
      <c r="F47" s="9" t="n"/>
    </row>
    <row r="48">
      <c r="A48" s="8" t="n"/>
      <c r="B48" s="9" t="n"/>
      <c r="C48" s="4" t="n"/>
      <c r="D48" s="4" t="n"/>
      <c r="E48" s="4">
        <f>IF(A48="","",IF(E47="",12000,E47)+IF(C48="",0,C48)-IF(D48="",0,D48))</f>
        <v/>
      </c>
      <c r="F48" s="9" t="n"/>
    </row>
    <row r="49">
      <c r="A49" s="8" t="n"/>
      <c r="B49" s="9" t="n"/>
      <c r="C49" s="4" t="n"/>
      <c r="D49" s="4" t="n"/>
      <c r="E49" s="4">
        <f>IF(A49="","",IF(E48="",12000,E48)+IF(C49="",0,C49)-IF(D49="",0,D49))</f>
        <v/>
      </c>
      <c r="F49" s="9" t="n"/>
    </row>
    <row r="50">
      <c r="A50" s="8" t="n"/>
      <c r="B50" s="9" t="n"/>
      <c r="C50" s="4" t="n"/>
      <c r="D50" s="4" t="n"/>
      <c r="E50" s="4">
        <f>IF(A50="","",IF(E49="",12000,E49)+IF(C50="",0,C50)-IF(D50="",0,D50))</f>
        <v/>
      </c>
      <c r="F50" s="9" t="n"/>
    </row>
    <row r="51">
      <c r="A51" s="8" t="n"/>
      <c r="B51" s="9" t="n"/>
      <c r="C51" s="4" t="n"/>
      <c r="D51" s="4" t="n"/>
      <c r="E51" s="4">
        <f>IF(A51="","",IF(E50="",12000,E50)+IF(C51="",0,C51)-IF(D51="",0,D51))</f>
        <v/>
      </c>
      <c r="F51" s="9" t="n"/>
    </row>
    <row r="52">
      <c r="A52" s="8" t="n"/>
      <c r="B52" s="9" t="n"/>
      <c r="C52" s="4" t="n"/>
      <c r="D52" s="4" t="n"/>
      <c r="E52" s="4">
        <f>IF(A52="","",IF(E51="",12000,E51)+IF(C52="",0,C52)-IF(D52="",0,D52))</f>
        <v/>
      </c>
      <c r="F52" s="9" t="n"/>
    </row>
  </sheetData>
  <mergeCells count="2">
    <mergeCell ref="A2:F2"/>
    <mergeCell ref="A1:F1"/>
  </mergeCells>
  <dataValidations count="1">
    <dataValidation sqref="F5:F200" showDropDown="0" showInputMessage="0" showErrorMessage="0" allowBlank="1" type="list">
      <formula1>"Realizado,Previsto"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