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VIMENTOS" sheetId="2" state="visible" r:id="rId2"/>
  </sheets>
  <definedNames>
    <definedName name="_xlnm.Print_Area" localSheetId="0">'DASHBOARD'!$A$1:$L$44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"/>
    <numFmt numFmtId="166" formatCode="&quot;R$&quot; #,##0"/>
  </numFmts>
  <fonts count="16">
    <font>
      <name val="Calibri"/>
      <family val="2"/>
      <color theme="1"/>
      <sz val="11"/>
      <scheme val="minor"/>
    </font>
    <font>
      <name val="Aptos Narrow"/>
      <b val="1"/>
      <color rgb="00C99C66"/>
      <sz val="9"/>
    </font>
    <font>
      <name val="Aptos Narrow"/>
      <b val="1"/>
      <color rgb="00F3ECDD"/>
      <sz val="20"/>
    </font>
    <font>
      <name val="Aptos Narrow"/>
      <i val="1"/>
      <color rgb="008A9691"/>
      <sz val="10"/>
    </font>
    <font>
      <name val="Aptos Narrow"/>
      <b val="1"/>
      <color rgb="00F3ECDD"/>
      <sz val="9"/>
    </font>
    <font>
      <name val="Aptos Narrow"/>
      <color rgb="00F3ECDD"/>
      <sz val="10"/>
    </font>
    <font>
      <name val="Aptos Narrow"/>
      <b val="1"/>
      <color rgb="00C99C66"/>
      <sz val="10"/>
    </font>
    <font>
      <name val="Aptos Narrow"/>
      <b val="1"/>
      <color rgb="00F3ECDD"/>
      <sz val="11"/>
    </font>
    <font>
      <name val="Aptos Narrow"/>
      <color rgb="000E1512"/>
      <sz val="9"/>
    </font>
    <font>
      <name val="Aptos Narrow"/>
      <i val="1"/>
      <color rgb="008A9691"/>
      <sz val="9"/>
    </font>
    <font>
      <name val="Aptos Narrow"/>
      <b val="1"/>
      <color rgb="008A9691"/>
      <sz val="9"/>
    </font>
    <font>
      <name val="Aptos Narrow"/>
      <b val="1"/>
      <color rgb="00C99C66"/>
      <sz val="18"/>
    </font>
    <font>
      <name val="Aptos Narrow"/>
      <i val="1"/>
      <color rgb="008A9691"/>
      <sz val="8"/>
    </font>
    <font>
      <name val="Aptos Narrow"/>
      <b val="1"/>
      <color rgb="00E0A94B"/>
      <sz val="18"/>
    </font>
    <font>
      <name val="Aptos Narrow"/>
      <b val="1"/>
      <color rgb="0043D07F"/>
      <sz val="18"/>
    </font>
    <font>
      <name val="Aptos Narrow"/>
      <b val="1"/>
      <color rgb="00D9534F"/>
      <sz val="18"/>
    </font>
  </fonts>
  <fills count="5">
    <fill>
      <patternFill/>
    </fill>
    <fill>
      <patternFill patternType="gray125"/>
    </fill>
    <fill>
      <patternFill patternType="solid">
        <fgColor rgb="000E1512"/>
      </patternFill>
    </fill>
    <fill>
      <patternFill patternType="solid">
        <fgColor rgb="0014211B"/>
      </patternFill>
    </fill>
    <fill>
      <patternFill patternType="solid">
        <fgColor rgb="001B2C24"/>
      </patternFill>
    </fill>
  </fills>
  <borders count="2">
    <border>
      <left/>
      <right/>
      <top/>
      <bottom/>
      <diagonal/>
    </border>
    <border>
      <left style="thin">
        <color rgb="0024382E"/>
      </left>
      <right style="thin">
        <color rgb="0024382E"/>
      </right>
      <top style="thin">
        <color rgb="0024382E"/>
      </top>
      <bottom style="thin">
        <color rgb="0024382E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0" fontId="8" fillId="2" borderId="0" pivotButton="0" quotePrefix="0" xfId="0"/>
    <xf numFmtId="0" fontId="10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11" fillId="4" borderId="1" applyAlignment="1" pivotButton="0" quotePrefix="0" xfId="0">
      <alignment horizontal="center" vertical="center"/>
    </xf>
    <xf numFmtId="166" fontId="13" fillId="4" borderId="1" applyAlignment="1" pivotButton="0" quotePrefix="0" xfId="0">
      <alignment horizontal="center" vertical="center"/>
    </xf>
    <xf numFmtId="166" fontId="14" fillId="4" borderId="1" applyAlignment="1" pivotButton="0" quotePrefix="0" xfId="0">
      <alignment horizontal="center" vertical="center"/>
    </xf>
    <xf numFmtId="166" fontId="15" fillId="4" borderId="1" applyAlignment="1" pivotButton="0" quotePrefix="0" xfId="0">
      <alignment horizontal="center" vertical="center"/>
    </xf>
    <xf numFmtId="1" fontId="11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6" fillId="2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 vertical="center" wrapText="1"/>
    </xf>
    <xf numFmtId="165" fontId="5" fillId="2" borderId="1" pivotButton="0" quotePrefix="0" xfId="0"/>
    <xf numFmtId="0" fontId="5" fillId="2" borderId="1" pivotButton="0" quotePrefix="0" xfId="0"/>
    <xf numFmtId="166" fontId="5" fillId="2" borderId="1" pivotButton="0" quotePrefix="0" xfId="0"/>
  </cellXfs>
  <cellStyles count="1">
    <cellStyle name="Normal" xfId="0" builtinId="0" hidden="0"/>
  </cellStyles>
  <dxfs count="1">
    <dxf>
      <font>
        <name val="Aptos Narrow"/>
        <b val="1"/>
        <color rgb="00FFFFFF"/>
        <sz val="10"/>
      </font>
      <fill>
        <patternFill patternType="solid">
          <fgColor rgb="00D9534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'MOVIMENTOS'!G5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'MOVIMENTOS'!$A$6:$A$20</f>
            </numRef>
          </cat>
          <val>
            <numRef>
              <f>'MOVIMENTOS'!$G$6:$G$20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79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" customWidth="1" min="12" max="12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Simulador de Fluxo de Caixa · 90 dias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Cenários dinâmicos · runway · ponto de ruptura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5" t="inlineStr">
        <is>
          <t>CENÁRIO:</t>
        </is>
      </c>
      <c r="C5" s="6" t="inlineStr">
        <is>
          <t>Realista</t>
        </is>
      </c>
      <c r="D5" s="7">
        <f>CONCATENATE("Fator aplicado às entradas previstas: ",TEXT(C6,"0%"))</f>
        <v/>
      </c>
      <c r="L5" s="2" t="n"/>
    </row>
    <row r="6">
      <c r="A6" s="2" t="n"/>
      <c r="B6" s="2" t="n"/>
      <c r="C6" s="8">
        <f>IF(C5="Pessimista",0.7,IF(C5="Otimista",1.15,1))</f>
        <v/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 ht="15" customHeight="1">
      <c r="A7" s="2" t="n"/>
      <c r="B7" s="9" t="inlineStr">
        <is>
          <t>SALDO HOJE</t>
        </is>
      </c>
      <c r="C7" s="10" t="n"/>
      <c r="D7" s="9" t="inlineStr">
        <is>
          <t>MENOR SALDO 90D</t>
        </is>
      </c>
      <c r="E7" s="10" t="n"/>
      <c r="F7" s="9" t="inlineStr">
        <is>
          <t>ENTRADAS PREV. (cenário)</t>
        </is>
      </c>
      <c r="G7" s="10" t="n"/>
      <c r="H7" s="9" t="inlineStr">
        <is>
          <t>SAÍDAS PREV. 90D</t>
        </is>
      </c>
      <c r="I7" s="10" t="n"/>
      <c r="J7" s="9" t="inlineStr">
        <is>
          <t>RUNWAY (dias)</t>
        </is>
      </c>
      <c r="K7" s="10" t="n"/>
      <c r="L7" s="2" t="n"/>
    </row>
    <row r="8" ht="26" customHeight="1">
      <c r="A8" s="2" t="n"/>
      <c r="B8" s="11">
        <f>B40</f>
        <v/>
      </c>
      <c r="C8" s="10" t="n"/>
      <c r="D8" s="12">
        <f>B41</f>
        <v/>
      </c>
      <c r="E8" s="10" t="n"/>
      <c r="F8" s="13">
        <f>B43</f>
        <v/>
      </c>
      <c r="G8" s="10" t="n"/>
      <c r="H8" s="14">
        <f>B44</f>
        <v/>
      </c>
      <c r="I8" s="10" t="n"/>
      <c r="J8" s="15">
        <f>B45</f>
        <v/>
      </c>
      <c r="K8" s="10" t="n"/>
      <c r="L8" s="2" t="n"/>
    </row>
    <row r="9" ht="14" customHeight="1">
      <c r="A9" s="2" t="n"/>
      <c r="B9" s="16" t="inlineStr"/>
      <c r="C9" s="10" t="n"/>
      <c r="D9" s="16" t="inlineStr">
        <is>
          <t>vale de caixa</t>
        </is>
      </c>
      <c r="E9" s="10" t="n"/>
      <c r="F9" s="16" t="inlineStr"/>
      <c r="G9" s="10" t="n"/>
      <c r="H9" s="16" t="inlineStr"/>
      <c r="I9" s="10" t="n"/>
      <c r="J9" s="16" t="inlineStr">
        <is>
          <t>fôlego no ritmo atual</t>
        </is>
      </c>
      <c r="K9" s="10" t="n"/>
      <c r="L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 ht="22" customHeight="1">
      <c r="A11" s="2" t="n"/>
      <c r="B11" s="17">
        <f>IF(B41&lt;0,CONCATENATE("🔴 RUPTURA prevista em ",TEXT(B42,"dd/mm")," — antecipe recebimentos ou corte saídas."),IF(B41&lt;5000,"🟠 Caixa aperta no período. Monitore de perto.","🟢 Projeção saudável no cenário selecionado."))</f>
        <v/>
      </c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19" t="inlineStr">
        <is>
          <t>CURVA DE CAIXA PROJETADA (90 dias)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8">
        <f>LOOKUP(2,1/(MOVIMENTOS!E6:E156="Realizado"),MOVIMENTOS!G6:G156)</f>
        <v/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8">
        <f>MIN(MOVIMENTOS!G6:G156)</f>
        <v/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8">
        <f>INDEX(MOVIMENTOS!A6:A156,MATCH(MIN(MOVIMENTOS!G6:G156),MOVIMENTOS!G6:G156,0))</f>
        <v/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8">
        <f>SUMIFS(MOVIMENTOS!C:C,MOVIMENTOS!E:E,"Previsto")*C6</f>
        <v/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8">
        <f>SUMIFS(MOVIMENTOS!D:D,MOVIMENTOS!E:E,"Previsto")</f>
        <v/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8">
        <f>IFERROR(B40/(B44/90),999)</f>
        <v/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</sheetData>
  <mergeCells count="20">
    <mergeCell ref="B7:C7"/>
    <mergeCell ref="A3:L3"/>
    <mergeCell ref="H9:I9"/>
    <mergeCell ref="F7:G7"/>
    <mergeCell ref="J9:K9"/>
    <mergeCell ref="A2:L2"/>
    <mergeCell ref="B8:C8"/>
    <mergeCell ref="F8:G8"/>
    <mergeCell ref="D7:E7"/>
    <mergeCell ref="H7:I7"/>
    <mergeCell ref="J7:K7"/>
    <mergeCell ref="B9:C9"/>
    <mergeCell ref="D9:E9"/>
    <mergeCell ref="B11:K11"/>
    <mergeCell ref="F9:G9"/>
    <mergeCell ref="D8:E8"/>
    <mergeCell ref="A1:L1"/>
    <mergeCell ref="D5:K5"/>
    <mergeCell ref="H8:I8"/>
    <mergeCell ref="J8:K8"/>
  </mergeCells>
  <dataValidations count="1">
    <dataValidation sqref="C5" showDropDown="0" showInputMessage="0" showErrorMessage="0" allowBlank="1" errorTitle="Valor inválido" error="Selecione um valor da lista" promptTitle="Trust Excel" prompt="Escolha uma opção" type="list">
      <formula1>"Pessimista,Realista,Otimista"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3" customWidth="1" min="3" max="3"/>
    <col width="13" customWidth="1" min="4" max="4"/>
    <col width="12" customWidth="1" min="5" max="5"/>
    <col width="16" customWidth="1" min="6" max="6"/>
    <col width="16" customWidth="1" min="7" max="7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Movimentos</t>
        </is>
      </c>
      <c r="B2" s="2" t="n"/>
      <c r="C2" s="2" t="n"/>
      <c r="D2" s="2" t="n"/>
      <c r="E2" s="2" t="n"/>
      <c r="F2" s="2" t="n"/>
      <c r="G2" s="2" t="n"/>
      <c r="H2" s="2" t="n"/>
    </row>
    <row r="3" ht="18" customHeight="1">
      <c r="A3" s="4" t="inlineStr">
        <is>
          <t>Realizados e previstos — base do simulador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 ht="26" customHeight="1">
      <c r="A5" s="20" t="inlineStr">
        <is>
          <t>Data</t>
        </is>
      </c>
      <c r="B5" s="20" t="inlineStr">
        <is>
          <t>Descrição</t>
        </is>
      </c>
      <c r="C5" s="20" t="inlineStr">
        <is>
          <t>Entrada</t>
        </is>
      </c>
      <c r="D5" s="20" t="inlineStr">
        <is>
          <t>Saída</t>
        </is>
      </c>
      <c r="E5" s="20" t="inlineStr">
        <is>
          <t>Status</t>
        </is>
      </c>
      <c r="F5" s="20" t="inlineStr">
        <is>
          <t>Categoria</t>
        </is>
      </c>
      <c r="G5" s="20" t="inlineStr">
        <is>
          <t>Saldo acumulado</t>
        </is>
      </c>
      <c r="H5" s="2" t="n"/>
    </row>
    <row r="6">
      <c r="A6" s="21" t="n">
        <v>46211</v>
      </c>
      <c r="B6" s="22" t="inlineStr">
        <is>
          <t>Recebimento cliente A</t>
        </is>
      </c>
      <c r="C6" s="23" t="n">
        <v>4200</v>
      </c>
      <c r="D6" s="23" t="n"/>
      <c r="E6" s="22" t="inlineStr">
        <is>
          <t>Realizado</t>
        </is>
      </c>
      <c r="F6" s="22" t="inlineStr">
        <is>
          <t>Vendas</t>
        </is>
      </c>
      <c r="G6" s="23">
        <f>IF(B6="","",15000+IF(E6="Previsto",IF(C6="",0,C6)*DASHBOARD!$C$6,IF(C6="",0,C6))-IF(D6="",0,D6))</f>
        <v/>
      </c>
      <c r="H6" s="2" t="n"/>
    </row>
    <row r="7">
      <c r="A7" s="21" t="n">
        <v>46215</v>
      </c>
      <c r="B7" s="22" t="inlineStr">
        <is>
          <t>Folha e pró-labore</t>
        </is>
      </c>
      <c r="C7" s="23" t="n"/>
      <c r="D7" s="23" t="n">
        <v>3900</v>
      </c>
      <c r="E7" s="22" t="inlineStr">
        <is>
          <t>Realizado</t>
        </is>
      </c>
      <c r="F7" s="22" t="inlineStr">
        <is>
          <t>Pessoal</t>
        </is>
      </c>
      <c r="G7" s="23">
        <f>IF(B7="","",G6+IF(E7="Previsto",IF(C7="",0,C7)*DASHBOARD!$C$6,IF(C7="",0,C7))-IF(D7="",0,D7))</f>
        <v/>
      </c>
      <c r="H7" s="2" t="n"/>
    </row>
    <row r="8">
      <c r="A8" s="21" t="n">
        <v>46219</v>
      </c>
      <c r="B8" s="22" t="inlineStr">
        <is>
          <t>Recebimento cliente B</t>
        </is>
      </c>
      <c r="C8" s="23" t="n">
        <v>3100</v>
      </c>
      <c r="D8" s="23" t="n"/>
      <c r="E8" s="22" t="inlineStr">
        <is>
          <t>Realizado</t>
        </is>
      </c>
      <c r="F8" s="22" t="inlineStr">
        <is>
          <t>Vendas</t>
        </is>
      </c>
      <c r="G8" s="23">
        <f>IF(B8="","",G7+IF(E8="Previsto",IF(C8="",0,C8)*DASHBOARD!$C$6,IF(C8="",0,C8))-IF(D8="",0,D8))</f>
        <v/>
      </c>
      <c r="H8" s="2" t="n"/>
    </row>
    <row r="9">
      <c r="A9" s="21" t="n">
        <v>46223</v>
      </c>
      <c r="B9" s="22" t="inlineStr">
        <is>
          <t>Fornecedores</t>
        </is>
      </c>
      <c r="C9" s="23" t="n"/>
      <c r="D9" s="23" t="n">
        <v>1450</v>
      </c>
      <c r="E9" s="22" t="inlineStr">
        <is>
          <t>Realizado</t>
        </is>
      </c>
      <c r="F9" s="22" t="inlineStr">
        <is>
          <t>Custo</t>
        </is>
      </c>
      <c r="G9" s="23">
        <f>IF(B9="","",G8+IF(E9="Previsto",IF(C9="",0,C9)*DASHBOARD!$C$6,IF(C9="",0,C9))-IF(D9="",0,D9))</f>
        <v/>
      </c>
      <c r="H9" s="2" t="n"/>
    </row>
    <row r="10">
      <c r="A10" s="21" t="n">
        <v>46228</v>
      </c>
      <c r="B10" s="22" t="inlineStr">
        <is>
          <t>Recebimento previsto C</t>
        </is>
      </c>
      <c r="C10" s="23" t="n">
        <v>4800</v>
      </c>
      <c r="D10" s="23" t="n"/>
      <c r="E10" s="22" t="inlineStr">
        <is>
          <t>Previsto</t>
        </is>
      </c>
      <c r="F10" s="22" t="inlineStr">
        <is>
          <t>Vendas</t>
        </is>
      </c>
      <c r="G10" s="23">
        <f>IF(B10="","",G9+IF(E10="Previsto",IF(C10="",0,C10)*DASHBOARD!$C$6,IF(C10="",0,C10))-IF(D10="",0,D10))</f>
        <v/>
      </c>
      <c r="H10" s="2" t="n"/>
    </row>
    <row r="11">
      <c r="A11" s="21" t="n">
        <v>46231</v>
      </c>
      <c r="B11" s="22" t="inlineStr">
        <is>
          <t>Aluguel</t>
        </is>
      </c>
      <c r="C11" s="23" t="n"/>
      <c r="D11" s="23" t="n">
        <v>2400</v>
      </c>
      <c r="E11" s="22" t="inlineStr">
        <is>
          <t>Previsto</t>
        </is>
      </c>
      <c r="F11" s="22" t="inlineStr">
        <is>
          <t>Fixo</t>
        </is>
      </c>
      <c r="G11" s="23">
        <f>IF(B11="","",G10+IF(E11="Previsto",IF(C11="",0,C11)*DASHBOARD!$C$6,IF(C11="",0,C11))-IF(D11="",0,D11))</f>
        <v/>
      </c>
      <c r="H11" s="2" t="n"/>
    </row>
    <row r="12">
      <c r="A12" s="21" t="n">
        <v>46234</v>
      </c>
      <c r="B12" s="22" t="inlineStr">
        <is>
          <t>Impostos</t>
        </is>
      </c>
      <c r="C12" s="23" t="n"/>
      <c r="D12" s="23" t="n">
        <v>1250</v>
      </c>
      <c r="E12" s="22" t="inlineStr">
        <is>
          <t>Previsto</t>
        </is>
      </c>
      <c r="F12" s="22" t="inlineStr">
        <is>
          <t>Imposto</t>
        </is>
      </c>
      <c r="G12" s="23">
        <f>IF(B12="","",G11+IF(E12="Previsto",IF(C12="",0,C12)*DASHBOARD!$C$6,IF(C12="",0,C12))-IF(D12="",0,D12))</f>
        <v/>
      </c>
      <c r="H12" s="2" t="n"/>
    </row>
    <row r="13">
      <c r="A13" s="21" t="n">
        <v>46239</v>
      </c>
      <c r="B13" s="22" t="inlineStr">
        <is>
          <t>Contrato novo</t>
        </is>
      </c>
      <c r="C13" s="23" t="n">
        <v>5200</v>
      </c>
      <c r="D13" s="23" t="n"/>
      <c r="E13" s="22" t="inlineStr">
        <is>
          <t>Previsto</t>
        </is>
      </c>
      <c r="F13" s="22" t="inlineStr">
        <is>
          <t>Vendas</t>
        </is>
      </c>
      <c r="G13" s="23">
        <f>IF(B13="","",G12+IF(E13="Previsto",IF(C13="",0,C13)*DASHBOARD!$C$6,IF(C13="",0,C13))-IF(D13="",0,D13))</f>
        <v/>
      </c>
      <c r="H13" s="2" t="n"/>
    </row>
    <row r="14">
      <c r="A14" s="21" t="n">
        <v>46245</v>
      </c>
      <c r="B14" s="22" t="inlineStr">
        <is>
          <t>Marketing</t>
        </is>
      </c>
      <c r="C14" s="23" t="n"/>
      <c r="D14" s="23" t="n">
        <v>1800</v>
      </c>
      <c r="E14" s="22" t="inlineStr">
        <is>
          <t>Previsto</t>
        </is>
      </c>
      <c r="F14" s="22" t="inlineStr">
        <is>
          <t>Growth</t>
        </is>
      </c>
      <c r="G14" s="23">
        <f>IF(B14="","",G13+IF(E14="Previsto",IF(C14="",0,C14)*DASHBOARD!$C$6,IF(C14="",0,C14))-IF(D14="",0,D14))</f>
        <v/>
      </c>
      <c r="H14" s="2" t="n"/>
    </row>
    <row r="15">
      <c r="A15" s="21" t="n">
        <v>46252</v>
      </c>
      <c r="B15" s="22" t="inlineStr">
        <is>
          <t>Assinatura recorrente</t>
        </is>
      </c>
      <c r="C15" s="23" t="n">
        <v>2200</v>
      </c>
      <c r="D15" s="23" t="n"/>
      <c r="E15" s="22" t="inlineStr">
        <is>
          <t>Previsto</t>
        </is>
      </c>
      <c r="F15" s="22" t="inlineStr">
        <is>
          <t>Recorrente</t>
        </is>
      </c>
      <c r="G15" s="23">
        <f>IF(B15="","",G14+IF(E15="Previsto",IF(C15="",0,C15)*DASHBOARD!$C$6,IF(C15="",0,C15))-IF(D15="",0,D15))</f>
        <v/>
      </c>
      <c r="H15" s="2" t="n"/>
    </row>
    <row r="16">
      <c r="A16" s="21" t="n">
        <v>46260</v>
      </c>
      <c r="B16" s="22" t="inlineStr">
        <is>
          <t>Fornecedores</t>
        </is>
      </c>
      <c r="C16" s="23" t="n"/>
      <c r="D16" s="23" t="n">
        <v>2100</v>
      </c>
      <c r="E16" s="22" t="inlineStr">
        <is>
          <t>Previsto</t>
        </is>
      </c>
      <c r="F16" s="22" t="inlineStr">
        <is>
          <t>Custo</t>
        </is>
      </c>
      <c r="G16" s="23">
        <f>IF(B16="","",G15+IF(E16="Previsto",IF(C16="",0,C16)*DASHBOARD!$C$6,IF(C16="",0,C16))-IF(D16="",0,D16))</f>
        <v/>
      </c>
      <c r="H16" s="2" t="n"/>
    </row>
    <row r="17">
      <c r="A17" s="21" t="n">
        <v>46270</v>
      </c>
      <c r="B17" s="22" t="inlineStr">
        <is>
          <t>Recebimento previsto D</t>
        </is>
      </c>
      <c r="C17" s="23" t="n">
        <v>6100</v>
      </c>
      <c r="D17" s="23" t="n"/>
      <c r="E17" s="22" t="inlineStr">
        <is>
          <t>Previsto</t>
        </is>
      </c>
      <c r="F17" s="22" t="inlineStr">
        <is>
          <t>Vendas</t>
        </is>
      </c>
      <c r="G17" s="23">
        <f>IF(B17="","",G16+IF(E17="Previsto",IF(C17="",0,C17)*DASHBOARD!$C$6,IF(C17="",0,C17))-IF(D17="",0,D17))</f>
        <v/>
      </c>
      <c r="H17" s="2" t="n"/>
    </row>
    <row r="18">
      <c r="A18" s="21" t="n">
        <v>46285</v>
      </c>
      <c r="B18" s="22" t="inlineStr">
        <is>
          <t>Pró-labore</t>
        </is>
      </c>
      <c r="C18" s="23" t="n"/>
      <c r="D18" s="23" t="n">
        <v>3900</v>
      </c>
      <c r="E18" s="22" t="inlineStr">
        <is>
          <t>Previsto</t>
        </is>
      </c>
      <c r="F18" s="22" t="inlineStr">
        <is>
          <t>Pessoal</t>
        </is>
      </c>
      <c r="G18" s="23">
        <f>IF(B18="","",G17+IF(E18="Previsto",IF(C18="",0,C18)*DASHBOARD!$C$6,IF(C18="",0,C18))-IF(D18="",0,D18))</f>
        <v/>
      </c>
      <c r="H18" s="2" t="n"/>
    </row>
    <row r="19">
      <c r="A19" s="21" t="n">
        <v>46300</v>
      </c>
      <c r="B19" s="22" t="inlineStr">
        <is>
          <t>Recebimento previsto E</t>
        </is>
      </c>
      <c r="C19" s="23" t="n">
        <v>4500</v>
      </c>
      <c r="D19" s="23" t="n"/>
      <c r="E19" s="22" t="inlineStr">
        <is>
          <t>Previsto</t>
        </is>
      </c>
      <c r="F19" s="22" t="inlineStr">
        <is>
          <t>Vendas</t>
        </is>
      </c>
      <c r="G19" s="23">
        <f>IF(B19="","",G18+IF(E19="Previsto",IF(C19="",0,C19)*DASHBOARD!$C$6,IF(C19="",0,C19))-IF(D19="",0,D19))</f>
        <v/>
      </c>
      <c r="H19" s="2" t="n"/>
    </row>
    <row r="20">
      <c r="A20" s="21" t="n">
        <v>46313</v>
      </c>
      <c r="B20" s="22" t="inlineStr">
        <is>
          <t>Impostos trimestrais</t>
        </is>
      </c>
      <c r="C20" s="23" t="n"/>
      <c r="D20" s="23" t="n">
        <v>3200</v>
      </c>
      <c r="E20" s="22" t="inlineStr">
        <is>
          <t>Previsto</t>
        </is>
      </c>
      <c r="F20" s="22" t="inlineStr">
        <is>
          <t>Imposto</t>
        </is>
      </c>
      <c r="G20" s="23">
        <f>IF(B20="","",G19+IF(E20="Previsto",IF(C20="",0,C20)*DASHBOARD!$C$6,IF(C20="",0,C20))-IF(D20="",0,D20))</f>
        <v/>
      </c>
      <c r="H20" s="2" t="n"/>
    </row>
    <row r="21">
      <c r="A21" s="21" t="n"/>
      <c r="B21" s="22" t="n"/>
      <c r="C21" s="23" t="n"/>
      <c r="D21" s="23" t="n"/>
      <c r="E21" s="22" t="n"/>
      <c r="F21" s="22" t="n"/>
      <c r="G21" s="23">
        <f>IF(B21="","",G20+IF(E21="Previsto",IF(C21="",0,C21)*DASHBOARD!$C$6,IF(C21="",0,C21))-IF(D21="",0,D21))</f>
        <v/>
      </c>
      <c r="H21" s="2" t="n"/>
    </row>
    <row r="22">
      <c r="A22" s="21" t="n"/>
      <c r="B22" s="22" t="n"/>
      <c r="C22" s="23" t="n"/>
      <c r="D22" s="23" t="n"/>
      <c r="E22" s="22" t="n"/>
      <c r="F22" s="22" t="n"/>
      <c r="G22" s="23">
        <f>IF(B22="","",G21+IF(E22="Previsto",IF(C22="",0,C22)*DASHBOARD!$C$6,IF(C22="",0,C22))-IF(D22="",0,D22))</f>
        <v/>
      </c>
      <c r="H22" s="2" t="n"/>
    </row>
    <row r="23">
      <c r="A23" s="21" t="n"/>
      <c r="B23" s="22" t="n"/>
      <c r="C23" s="23" t="n"/>
      <c r="D23" s="23" t="n"/>
      <c r="E23" s="22" t="n"/>
      <c r="F23" s="22" t="n"/>
      <c r="G23" s="23">
        <f>IF(B23="","",G22+IF(E23="Previsto",IF(C23="",0,C23)*DASHBOARD!$C$6,IF(C23="",0,C23))-IF(D23="",0,D23))</f>
        <v/>
      </c>
      <c r="H23" s="2" t="n"/>
    </row>
    <row r="24">
      <c r="A24" s="21" t="n"/>
      <c r="B24" s="22" t="n"/>
      <c r="C24" s="23" t="n"/>
      <c r="D24" s="23" t="n"/>
      <c r="E24" s="22" t="n"/>
      <c r="F24" s="22" t="n"/>
      <c r="G24" s="23">
        <f>IF(B24="","",G23+IF(E24="Previsto",IF(C24="",0,C24)*DASHBOARD!$C$6,IF(C24="",0,C24))-IF(D24="",0,D24))</f>
        <v/>
      </c>
      <c r="H24" s="2" t="n"/>
    </row>
    <row r="25">
      <c r="A25" s="21" t="n"/>
      <c r="B25" s="22" t="n"/>
      <c r="C25" s="23" t="n"/>
      <c r="D25" s="23" t="n"/>
      <c r="E25" s="22" t="n"/>
      <c r="F25" s="22" t="n"/>
      <c r="G25" s="23">
        <f>IF(B25="","",G24+IF(E25="Previsto",IF(C25="",0,C25)*DASHBOARD!$C$6,IF(C25="",0,C25))-IF(D25="",0,D25))</f>
        <v/>
      </c>
      <c r="H25" s="2" t="n"/>
    </row>
    <row r="26">
      <c r="A26" s="21" t="n"/>
      <c r="B26" s="22" t="n"/>
      <c r="C26" s="23" t="n"/>
      <c r="D26" s="23" t="n"/>
      <c r="E26" s="22" t="n"/>
      <c r="F26" s="22" t="n"/>
      <c r="G26" s="23">
        <f>IF(B26="","",G25+IF(E26="Previsto",IF(C26="",0,C26)*DASHBOARD!$C$6,IF(C26="",0,C26))-IF(D26="",0,D26))</f>
        <v/>
      </c>
      <c r="H26" s="2" t="n"/>
    </row>
    <row r="27">
      <c r="A27" s="21" t="n"/>
      <c r="B27" s="22" t="n"/>
      <c r="C27" s="23" t="n"/>
      <c r="D27" s="23" t="n"/>
      <c r="E27" s="22" t="n"/>
      <c r="F27" s="22" t="n"/>
      <c r="G27" s="23">
        <f>IF(B27="","",G26+IF(E27="Previsto",IF(C27="",0,C27)*DASHBOARD!$C$6,IF(C27="",0,C27))-IF(D27="",0,D27))</f>
        <v/>
      </c>
      <c r="H27" s="2" t="n"/>
    </row>
    <row r="28">
      <c r="A28" s="21" t="n"/>
      <c r="B28" s="22" t="n"/>
      <c r="C28" s="23" t="n"/>
      <c r="D28" s="23" t="n"/>
      <c r="E28" s="22" t="n"/>
      <c r="F28" s="22" t="n"/>
      <c r="G28" s="23">
        <f>IF(B28="","",G27+IF(E28="Previsto",IF(C28="",0,C28)*DASHBOARD!$C$6,IF(C28="",0,C28))-IF(D28="",0,D28))</f>
        <v/>
      </c>
      <c r="H28" s="2" t="n"/>
    </row>
    <row r="29">
      <c r="A29" s="21" t="n"/>
      <c r="B29" s="22" t="n"/>
      <c r="C29" s="23" t="n"/>
      <c r="D29" s="23" t="n"/>
      <c r="E29" s="22" t="n"/>
      <c r="F29" s="22" t="n"/>
      <c r="G29" s="23">
        <f>IF(B29="","",G28+IF(E29="Previsto",IF(C29="",0,C29)*DASHBOARD!$C$6,IF(C29="",0,C29))-IF(D29="",0,D29))</f>
        <v/>
      </c>
      <c r="H29" s="2" t="n"/>
    </row>
    <row r="30">
      <c r="A30" s="21" t="n"/>
      <c r="B30" s="22" t="n"/>
      <c r="C30" s="23" t="n"/>
      <c r="D30" s="23" t="n"/>
      <c r="E30" s="22" t="n"/>
      <c r="F30" s="22" t="n"/>
      <c r="G30" s="23">
        <f>IF(B30="","",G29+IF(E30="Previsto",IF(C30="",0,C30)*DASHBOARD!$C$6,IF(C30="",0,C30))-IF(D30="",0,D30))</f>
        <v/>
      </c>
      <c r="H30" s="2" t="n"/>
    </row>
    <row r="31">
      <c r="A31" s="21" t="n"/>
      <c r="B31" s="22" t="n"/>
      <c r="C31" s="23" t="n"/>
      <c r="D31" s="23" t="n"/>
      <c r="E31" s="22" t="n"/>
      <c r="F31" s="22" t="n"/>
      <c r="G31" s="23">
        <f>IF(B31="","",G30+IF(E31="Previsto",IF(C31="",0,C31)*DASHBOARD!$C$6,IF(C31="",0,C31))-IF(D31="",0,D31))</f>
        <v/>
      </c>
      <c r="H31" s="2" t="n"/>
    </row>
    <row r="32">
      <c r="A32" s="21" t="n"/>
      <c r="B32" s="22" t="n"/>
      <c r="C32" s="23" t="n"/>
      <c r="D32" s="23" t="n"/>
      <c r="E32" s="22" t="n"/>
      <c r="F32" s="22" t="n"/>
      <c r="G32" s="23">
        <f>IF(B32="","",G31+IF(E32="Previsto",IF(C32="",0,C32)*DASHBOARD!$C$6,IF(C32="",0,C32))-IF(D32="",0,D32))</f>
        <v/>
      </c>
      <c r="H32" s="2" t="n"/>
    </row>
    <row r="33">
      <c r="A33" s="21" t="n"/>
      <c r="B33" s="22" t="n"/>
      <c r="C33" s="23" t="n"/>
      <c r="D33" s="23" t="n"/>
      <c r="E33" s="22" t="n"/>
      <c r="F33" s="22" t="n"/>
      <c r="G33" s="23">
        <f>IF(B33="","",G32+IF(E33="Previsto",IF(C33="",0,C33)*DASHBOARD!$C$6,IF(C33="",0,C33))-IF(D33="",0,D33))</f>
        <v/>
      </c>
      <c r="H33" s="2" t="n"/>
    </row>
    <row r="34">
      <c r="A34" s="21" t="n"/>
      <c r="B34" s="22" t="n"/>
      <c r="C34" s="23" t="n"/>
      <c r="D34" s="23" t="n"/>
      <c r="E34" s="22" t="n"/>
      <c r="F34" s="22" t="n"/>
      <c r="G34" s="23">
        <f>IF(B34="","",G33+IF(E34="Previsto",IF(C34="",0,C34)*DASHBOARD!$C$6,IF(C34="",0,C34))-IF(D34="",0,D34))</f>
        <v/>
      </c>
      <c r="H34" s="2" t="n"/>
    </row>
    <row r="35">
      <c r="A35" s="21" t="n"/>
      <c r="B35" s="22" t="n"/>
      <c r="C35" s="23" t="n"/>
      <c r="D35" s="23" t="n"/>
      <c r="E35" s="22" t="n"/>
      <c r="F35" s="22" t="n"/>
      <c r="G35" s="23">
        <f>IF(B35="","",G34+IF(E35="Previsto",IF(C35="",0,C35)*DASHBOARD!$C$6,IF(C35="",0,C35))-IF(D35="",0,D35))</f>
        <v/>
      </c>
      <c r="H35" s="2" t="n"/>
    </row>
    <row r="36">
      <c r="A36" s="21" t="n"/>
      <c r="B36" s="22" t="n"/>
      <c r="C36" s="23" t="n"/>
      <c r="D36" s="23" t="n"/>
      <c r="E36" s="22" t="n"/>
      <c r="F36" s="22" t="n"/>
      <c r="G36" s="23">
        <f>IF(B36="","",G35+IF(E36="Previsto",IF(C36="",0,C36)*DASHBOARD!$C$6,IF(C36="",0,C36))-IF(D36="",0,D36))</f>
        <v/>
      </c>
      <c r="H36" s="2" t="n"/>
    </row>
    <row r="37">
      <c r="A37" s="21" t="n"/>
      <c r="B37" s="22" t="n"/>
      <c r="C37" s="23" t="n"/>
      <c r="D37" s="23" t="n"/>
      <c r="E37" s="22" t="n"/>
      <c r="F37" s="22" t="n"/>
      <c r="G37" s="23">
        <f>IF(B37="","",G36+IF(E37="Previsto",IF(C37="",0,C37)*DASHBOARD!$C$6,IF(C37="",0,C37))-IF(D37="",0,D37))</f>
        <v/>
      </c>
      <c r="H37" s="2" t="n"/>
    </row>
    <row r="38">
      <c r="A38" s="21" t="n"/>
      <c r="B38" s="22" t="n"/>
      <c r="C38" s="23" t="n"/>
      <c r="D38" s="23" t="n"/>
      <c r="E38" s="22" t="n"/>
      <c r="F38" s="22" t="n"/>
      <c r="G38" s="23">
        <f>IF(B38="","",G37+IF(E38="Previsto",IF(C38="",0,C38)*DASHBOARD!$C$6,IF(C38="",0,C38))-IF(D38="",0,D38))</f>
        <v/>
      </c>
      <c r="H38" s="2" t="n"/>
    </row>
    <row r="39">
      <c r="A39" s="21" t="n"/>
      <c r="B39" s="22" t="n"/>
      <c r="C39" s="23" t="n"/>
      <c r="D39" s="23" t="n"/>
      <c r="E39" s="22" t="n"/>
      <c r="F39" s="22" t="n"/>
      <c r="G39" s="23">
        <f>IF(B39="","",G38+IF(E39="Previsto",IF(C39="",0,C39)*DASHBOARD!$C$6,IF(C39="",0,C39))-IF(D39="",0,D39))</f>
        <v/>
      </c>
      <c r="H39" s="2" t="n"/>
    </row>
    <row r="40">
      <c r="A40" s="21" t="n"/>
      <c r="B40" s="22" t="n"/>
      <c r="C40" s="23" t="n"/>
      <c r="D40" s="23" t="n"/>
      <c r="E40" s="22" t="n"/>
      <c r="F40" s="22" t="n"/>
      <c r="G40" s="23">
        <f>IF(B40="","",G39+IF(E40="Previsto",IF(C40="",0,C40)*DASHBOARD!$C$6,IF(C40="",0,C40))-IF(D40="",0,D40))</f>
        <v/>
      </c>
      <c r="H40" s="2" t="n"/>
    </row>
    <row r="41">
      <c r="A41" s="21" t="n"/>
      <c r="B41" s="22" t="n"/>
      <c r="C41" s="23" t="n"/>
      <c r="D41" s="23" t="n"/>
      <c r="E41" s="22" t="n"/>
      <c r="F41" s="22" t="n"/>
      <c r="G41" s="23">
        <f>IF(B41="","",G40+IF(E41="Previsto",IF(C41="",0,C41)*DASHBOARD!$C$6,IF(C41="",0,C41))-IF(D41="",0,D41))</f>
        <v/>
      </c>
      <c r="H41" s="2" t="n"/>
    </row>
    <row r="42">
      <c r="A42" s="21" t="n"/>
      <c r="B42" s="22" t="n"/>
      <c r="C42" s="23" t="n"/>
      <c r="D42" s="23" t="n"/>
      <c r="E42" s="22" t="n"/>
      <c r="F42" s="22" t="n"/>
      <c r="G42" s="23">
        <f>IF(B42="","",G41+IF(E42="Previsto",IF(C42="",0,C42)*DASHBOARD!$C$6,IF(C42="",0,C42))-IF(D42="",0,D42))</f>
        <v/>
      </c>
      <c r="H42" s="2" t="n"/>
    </row>
    <row r="43">
      <c r="A43" s="21" t="n"/>
      <c r="B43" s="22" t="n"/>
      <c r="C43" s="23" t="n"/>
      <c r="D43" s="23" t="n"/>
      <c r="E43" s="22" t="n"/>
      <c r="F43" s="22" t="n"/>
      <c r="G43" s="23">
        <f>IF(B43="","",G42+IF(E43="Previsto",IF(C43="",0,C43)*DASHBOARD!$C$6,IF(C43="",0,C43))-IF(D43="",0,D43))</f>
        <v/>
      </c>
      <c r="H43" s="2" t="n"/>
    </row>
    <row r="44">
      <c r="A44" s="21" t="n"/>
      <c r="B44" s="22" t="n"/>
      <c r="C44" s="23" t="n"/>
      <c r="D44" s="23" t="n"/>
      <c r="E44" s="22" t="n"/>
      <c r="F44" s="22" t="n"/>
      <c r="G44" s="23">
        <f>IF(B44="","",G43+IF(E44="Previsto",IF(C44="",0,C44)*DASHBOARD!$C$6,IF(C44="",0,C44))-IF(D44="",0,D44))</f>
        <v/>
      </c>
      <c r="H44" s="2" t="n"/>
    </row>
    <row r="45">
      <c r="A45" s="21" t="n"/>
      <c r="B45" s="22" t="n"/>
      <c r="C45" s="23" t="n"/>
      <c r="D45" s="23" t="n"/>
      <c r="E45" s="22" t="n"/>
      <c r="F45" s="22" t="n"/>
      <c r="G45" s="23">
        <f>IF(B45="","",G44+IF(E45="Previsto",IF(C45="",0,C45)*DASHBOARD!$C$6,IF(C45="",0,C45))-IF(D45="",0,D45))</f>
        <v/>
      </c>
      <c r="H45" s="2" t="n"/>
    </row>
    <row r="46">
      <c r="A46" s="21" t="n"/>
      <c r="B46" s="22" t="n"/>
      <c r="C46" s="23" t="n"/>
      <c r="D46" s="23" t="n"/>
      <c r="E46" s="22" t="n"/>
      <c r="F46" s="22" t="n"/>
      <c r="G46" s="23">
        <f>IF(B46="","",G45+IF(E46="Previsto",IF(C46="",0,C46)*DASHBOARD!$C$6,IF(C46="",0,C46))-IF(D46="",0,D46))</f>
        <v/>
      </c>
      <c r="H46" s="2" t="n"/>
    </row>
    <row r="47">
      <c r="A47" s="21" t="n"/>
      <c r="B47" s="22" t="n"/>
      <c r="C47" s="23" t="n"/>
      <c r="D47" s="23" t="n"/>
      <c r="E47" s="22" t="n"/>
      <c r="F47" s="22" t="n"/>
      <c r="G47" s="23">
        <f>IF(B47="","",G46+IF(E47="Previsto",IF(C47="",0,C47)*DASHBOARD!$C$6,IF(C47="",0,C47))-IF(D47="",0,D47))</f>
        <v/>
      </c>
      <c r="H47" s="2" t="n"/>
    </row>
    <row r="48">
      <c r="A48" s="21" t="n"/>
      <c r="B48" s="22" t="n"/>
      <c r="C48" s="23" t="n"/>
      <c r="D48" s="23" t="n"/>
      <c r="E48" s="22" t="n"/>
      <c r="F48" s="22" t="n"/>
      <c r="G48" s="23">
        <f>IF(B48="","",G47+IF(E48="Previsto",IF(C48="",0,C48)*DASHBOARD!$C$6,IF(C48="",0,C48))-IF(D48="",0,D48))</f>
        <v/>
      </c>
      <c r="H48" s="2" t="n"/>
    </row>
    <row r="49">
      <c r="A49" s="21" t="n"/>
      <c r="B49" s="22" t="n"/>
      <c r="C49" s="23" t="n"/>
      <c r="D49" s="23" t="n"/>
      <c r="E49" s="22" t="n"/>
      <c r="F49" s="22" t="n"/>
      <c r="G49" s="23">
        <f>IF(B49="","",G48+IF(E49="Previsto",IF(C49="",0,C49)*DASHBOARD!$C$6,IF(C49="",0,C49))-IF(D49="",0,D49))</f>
        <v/>
      </c>
      <c r="H49" s="2" t="n"/>
    </row>
    <row r="50">
      <c r="A50" s="21" t="n"/>
      <c r="B50" s="22" t="n"/>
      <c r="C50" s="23" t="n"/>
      <c r="D50" s="23" t="n"/>
      <c r="E50" s="22" t="n"/>
      <c r="F50" s="22" t="n"/>
      <c r="G50" s="23">
        <f>IF(B50="","",G49+IF(E50="Previsto",IF(C50="",0,C50)*DASHBOARD!$C$6,IF(C50="",0,C50))-IF(D50="",0,D50))</f>
        <v/>
      </c>
      <c r="H50" s="2" t="n"/>
    </row>
    <row r="51">
      <c r="A51" s="21" t="n"/>
      <c r="B51" s="22" t="n"/>
      <c r="C51" s="23" t="n"/>
      <c r="D51" s="23" t="n"/>
      <c r="E51" s="22" t="n"/>
      <c r="F51" s="22" t="n"/>
      <c r="G51" s="23">
        <f>IF(B51="","",G50+IF(E51="Previsto",IF(C51="",0,C51)*DASHBOARD!$C$6,IF(C51="",0,C51))-IF(D51="",0,D51))</f>
        <v/>
      </c>
      <c r="H51" s="2" t="n"/>
    </row>
    <row r="52">
      <c r="A52" s="21" t="n"/>
      <c r="B52" s="22" t="n"/>
      <c r="C52" s="23" t="n"/>
      <c r="D52" s="23" t="n"/>
      <c r="E52" s="22" t="n"/>
      <c r="F52" s="22" t="n"/>
      <c r="G52" s="23">
        <f>IF(B52="","",G51+IF(E52="Previsto",IF(C52="",0,C52)*DASHBOARD!$C$6,IF(C52="",0,C52))-IF(D52="",0,D52))</f>
        <v/>
      </c>
      <c r="H52" s="2" t="n"/>
    </row>
    <row r="53">
      <c r="A53" s="21" t="n"/>
      <c r="B53" s="22" t="n"/>
      <c r="C53" s="23" t="n"/>
      <c r="D53" s="23" t="n"/>
      <c r="E53" s="22" t="n"/>
      <c r="F53" s="22" t="n"/>
      <c r="G53" s="23">
        <f>IF(B53="","",G52+IF(E53="Previsto",IF(C53="",0,C53)*DASHBOARD!$C$6,IF(C53="",0,C53))-IF(D53="",0,D53))</f>
        <v/>
      </c>
      <c r="H53" s="2" t="n"/>
    </row>
    <row r="54">
      <c r="A54" s="21" t="n"/>
      <c r="B54" s="22" t="n"/>
      <c r="C54" s="23" t="n"/>
      <c r="D54" s="23" t="n"/>
      <c r="E54" s="22" t="n"/>
      <c r="F54" s="22" t="n"/>
      <c r="G54" s="23">
        <f>IF(B54="","",G53+IF(E54="Previsto",IF(C54="",0,C54)*DASHBOARD!$C$6,IF(C54="",0,C54))-IF(D54="",0,D54))</f>
        <v/>
      </c>
      <c r="H54" s="2" t="n"/>
    </row>
    <row r="55">
      <c r="A55" s="21" t="n"/>
      <c r="B55" s="22" t="n"/>
      <c r="C55" s="23" t="n"/>
      <c r="D55" s="23" t="n"/>
      <c r="E55" s="22" t="n"/>
      <c r="F55" s="22" t="n"/>
      <c r="G55" s="23">
        <f>IF(B55="","",G54+IF(E55="Previsto",IF(C55="",0,C55)*DASHBOARD!$C$6,IF(C55="",0,C55))-IF(D55="",0,D55))</f>
        <v/>
      </c>
      <c r="H55" s="2" t="n"/>
    </row>
    <row r="56">
      <c r="A56" s="21" t="n"/>
      <c r="B56" s="22" t="n"/>
      <c r="C56" s="23" t="n"/>
      <c r="D56" s="23" t="n"/>
      <c r="E56" s="22" t="n"/>
      <c r="F56" s="22" t="n"/>
      <c r="G56" s="23">
        <f>IF(B56="","",G55+IF(E56="Previsto",IF(C56="",0,C56)*DASHBOARD!$C$6,IF(C56="",0,C56))-IF(D56="",0,D56))</f>
        <v/>
      </c>
      <c r="H56" s="2" t="n"/>
    </row>
    <row r="57">
      <c r="A57" s="21" t="n"/>
      <c r="B57" s="22" t="n"/>
      <c r="C57" s="23" t="n"/>
      <c r="D57" s="23" t="n"/>
      <c r="E57" s="22" t="n"/>
      <c r="F57" s="22" t="n"/>
      <c r="G57" s="23">
        <f>IF(B57="","",G56+IF(E57="Previsto",IF(C57="",0,C57)*DASHBOARD!$C$6,IF(C57="",0,C57))-IF(D57="",0,D57))</f>
        <v/>
      </c>
      <c r="H57" s="2" t="n"/>
    </row>
    <row r="58">
      <c r="A58" s="21" t="n"/>
      <c r="B58" s="22" t="n"/>
      <c r="C58" s="23" t="n"/>
      <c r="D58" s="23" t="n"/>
      <c r="E58" s="22" t="n"/>
      <c r="F58" s="22" t="n"/>
      <c r="G58" s="23">
        <f>IF(B58="","",G57+IF(E58="Previsto",IF(C58="",0,C58)*DASHBOARD!$C$6,IF(C58="",0,C58))-IF(D58="",0,D58))</f>
        <v/>
      </c>
      <c r="H58" s="2" t="n"/>
    </row>
    <row r="59">
      <c r="A59" s="21" t="n"/>
      <c r="B59" s="22" t="n"/>
      <c r="C59" s="23" t="n"/>
      <c r="D59" s="23" t="n"/>
      <c r="E59" s="22" t="n"/>
      <c r="F59" s="22" t="n"/>
      <c r="G59" s="23">
        <f>IF(B59="","",G58+IF(E59="Previsto",IF(C59="",0,C59)*DASHBOARD!$C$6,IF(C59="",0,C59))-IF(D59="",0,D59))</f>
        <v/>
      </c>
      <c r="H59" s="2" t="n"/>
    </row>
    <row r="60">
      <c r="A60" s="21" t="n"/>
      <c r="B60" s="22" t="n"/>
      <c r="C60" s="23" t="n"/>
      <c r="D60" s="23" t="n"/>
      <c r="E60" s="22" t="n"/>
      <c r="F60" s="22" t="n"/>
      <c r="G60" s="23">
        <f>IF(B60="","",G59+IF(E60="Previsto",IF(C60="",0,C60)*DASHBOARD!$C$6,IF(C60="",0,C60))-IF(D60="",0,D60))</f>
        <v/>
      </c>
      <c r="H60" s="2" t="n"/>
    </row>
    <row r="61">
      <c r="A61" s="21" t="n"/>
      <c r="B61" s="22" t="n"/>
      <c r="C61" s="23" t="n"/>
      <c r="D61" s="23" t="n"/>
      <c r="E61" s="22" t="n"/>
      <c r="F61" s="22" t="n"/>
      <c r="G61" s="23">
        <f>IF(B61="","",G60+IF(E61="Previsto",IF(C61="",0,C61)*DASHBOARD!$C$6,IF(C61="",0,C61))-IF(D61="",0,D61))</f>
        <v/>
      </c>
      <c r="H61" s="2" t="n"/>
    </row>
    <row r="62">
      <c r="A62" s="21" t="n"/>
      <c r="B62" s="22" t="n"/>
      <c r="C62" s="23" t="n"/>
      <c r="D62" s="23" t="n"/>
      <c r="E62" s="22" t="n"/>
      <c r="F62" s="22" t="n"/>
      <c r="G62" s="23">
        <f>IF(B62="","",G61+IF(E62="Previsto",IF(C62="",0,C62)*DASHBOARD!$C$6,IF(C62="",0,C62))-IF(D62="",0,D62))</f>
        <v/>
      </c>
      <c r="H62" s="2" t="n"/>
    </row>
    <row r="63">
      <c r="A63" s="21" t="n"/>
      <c r="B63" s="22" t="n"/>
      <c r="C63" s="23" t="n"/>
      <c r="D63" s="23" t="n"/>
      <c r="E63" s="22" t="n"/>
      <c r="F63" s="22" t="n"/>
      <c r="G63" s="23">
        <f>IF(B63="","",G62+IF(E63="Previsto",IF(C63="",0,C63)*DASHBOARD!$C$6,IF(C63="",0,C63))-IF(D63="",0,D63))</f>
        <v/>
      </c>
      <c r="H63" s="2" t="n"/>
    </row>
    <row r="64">
      <c r="A64" s="21" t="n"/>
      <c r="B64" s="22" t="n"/>
      <c r="C64" s="23" t="n"/>
      <c r="D64" s="23" t="n"/>
      <c r="E64" s="22" t="n"/>
      <c r="F64" s="22" t="n"/>
      <c r="G64" s="23">
        <f>IF(B64="","",G63+IF(E64="Previsto",IF(C64="",0,C64)*DASHBOARD!$C$6,IF(C64="",0,C64))-IF(D64="",0,D64))</f>
        <v/>
      </c>
      <c r="H64" s="2" t="n"/>
    </row>
    <row r="65">
      <c r="A65" s="21" t="n"/>
      <c r="B65" s="22" t="n"/>
      <c r="C65" s="23" t="n"/>
      <c r="D65" s="23" t="n"/>
      <c r="E65" s="22" t="n"/>
      <c r="F65" s="22" t="n"/>
      <c r="G65" s="23">
        <f>IF(B65="","",G64+IF(E65="Previsto",IF(C65="",0,C65)*DASHBOARD!$C$6,IF(C65="",0,C65))-IF(D65="",0,D65))</f>
        <v/>
      </c>
      <c r="H65" s="2" t="n"/>
    </row>
    <row r="66">
      <c r="A66" s="21" t="n"/>
      <c r="B66" s="22" t="n"/>
      <c r="C66" s="23" t="n"/>
      <c r="D66" s="23" t="n"/>
      <c r="E66" s="22" t="n"/>
      <c r="F66" s="22" t="n"/>
      <c r="G66" s="23">
        <f>IF(B66="","",G65+IF(E66="Previsto",IF(C66="",0,C66)*DASHBOARD!$C$6,IF(C66="",0,C66))-IF(D66="",0,D66))</f>
        <v/>
      </c>
      <c r="H66" s="2" t="n"/>
    </row>
    <row r="67">
      <c r="A67" s="21" t="n"/>
      <c r="B67" s="22" t="n"/>
      <c r="C67" s="23" t="n"/>
      <c r="D67" s="23" t="n"/>
      <c r="E67" s="22" t="n"/>
      <c r="F67" s="22" t="n"/>
      <c r="G67" s="23">
        <f>IF(B67="","",G66+IF(E67="Previsto",IF(C67="",0,C67)*DASHBOARD!$C$6,IF(C67="",0,C67))-IF(D67="",0,D67))</f>
        <v/>
      </c>
      <c r="H67" s="2" t="n"/>
    </row>
    <row r="68">
      <c r="A68" s="21" t="n"/>
      <c r="B68" s="22" t="n"/>
      <c r="C68" s="23" t="n"/>
      <c r="D68" s="23" t="n"/>
      <c r="E68" s="22" t="n"/>
      <c r="F68" s="22" t="n"/>
      <c r="G68" s="23">
        <f>IF(B68="","",G67+IF(E68="Previsto",IF(C68="",0,C68)*DASHBOARD!$C$6,IF(C68="",0,C68))-IF(D68="",0,D68))</f>
        <v/>
      </c>
      <c r="H68" s="2" t="n"/>
    </row>
    <row r="69">
      <c r="A69" s="21" t="n"/>
      <c r="B69" s="22" t="n"/>
      <c r="C69" s="23" t="n"/>
      <c r="D69" s="23" t="n"/>
      <c r="E69" s="22" t="n"/>
      <c r="F69" s="22" t="n"/>
      <c r="G69" s="23">
        <f>IF(B69="","",G68+IF(E69="Previsto",IF(C69="",0,C69)*DASHBOARD!$C$6,IF(C69="",0,C69))-IF(D69="",0,D69))</f>
        <v/>
      </c>
      <c r="H69" s="2" t="n"/>
    </row>
    <row r="70">
      <c r="A70" s="21" t="n"/>
      <c r="B70" s="22" t="n"/>
      <c r="C70" s="23" t="n"/>
      <c r="D70" s="23" t="n"/>
      <c r="E70" s="22" t="n"/>
      <c r="F70" s="22" t="n"/>
      <c r="G70" s="23">
        <f>IF(B70="","",G69+IF(E70="Previsto",IF(C70="",0,C70)*DASHBOARD!$C$6,IF(C70="",0,C70))-IF(D70="",0,D70))</f>
        <v/>
      </c>
      <c r="H70" s="2" t="n"/>
    </row>
    <row r="71">
      <c r="A71" s="21" t="n"/>
      <c r="B71" s="22" t="n"/>
      <c r="C71" s="23" t="n"/>
      <c r="D71" s="23" t="n"/>
      <c r="E71" s="22" t="n"/>
      <c r="F71" s="22" t="n"/>
      <c r="G71" s="23">
        <f>IF(B71="","",G70+IF(E71="Previsto",IF(C71="",0,C71)*DASHBOARD!$C$6,IF(C71="",0,C71))-IF(D71="",0,D71))</f>
        <v/>
      </c>
      <c r="H71" s="2" t="n"/>
    </row>
    <row r="72">
      <c r="A72" s="21" t="n"/>
      <c r="B72" s="22" t="n"/>
      <c r="C72" s="23" t="n"/>
      <c r="D72" s="23" t="n"/>
      <c r="E72" s="22" t="n"/>
      <c r="F72" s="22" t="n"/>
      <c r="G72" s="23">
        <f>IF(B72="","",G71+IF(E72="Previsto",IF(C72="",0,C72)*DASHBOARD!$C$6,IF(C72="",0,C72))-IF(D72="",0,D72))</f>
        <v/>
      </c>
      <c r="H72" s="2" t="n"/>
    </row>
    <row r="73">
      <c r="A73" s="21" t="n"/>
      <c r="B73" s="22" t="n"/>
      <c r="C73" s="23" t="n"/>
      <c r="D73" s="23" t="n"/>
      <c r="E73" s="22" t="n"/>
      <c r="F73" s="22" t="n"/>
      <c r="G73" s="23">
        <f>IF(B73="","",G72+IF(E73="Previsto",IF(C73="",0,C73)*DASHBOARD!$C$6,IF(C73="",0,C73))-IF(D73="",0,D73))</f>
        <v/>
      </c>
      <c r="H73" s="2" t="n"/>
    </row>
    <row r="74">
      <c r="A74" s="21" t="n"/>
      <c r="B74" s="22" t="n"/>
      <c r="C74" s="23" t="n"/>
      <c r="D74" s="23" t="n"/>
      <c r="E74" s="22" t="n"/>
      <c r="F74" s="22" t="n"/>
      <c r="G74" s="23">
        <f>IF(B74="","",G73+IF(E74="Previsto",IF(C74="",0,C74)*DASHBOARD!$C$6,IF(C74="",0,C74))-IF(D74="",0,D74))</f>
        <v/>
      </c>
      <c r="H74" s="2" t="n"/>
    </row>
    <row r="75">
      <c r="A75" s="21" t="n"/>
      <c r="B75" s="22" t="n"/>
      <c r="C75" s="23" t="n"/>
      <c r="D75" s="23" t="n"/>
      <c r="E75" s="22" t="n"/>
      <c r="F75" s="22" t="n"/>
      <c r="G75" s="23">
        <f>IF(B75="","",G74+IF(E75="Previsto",IF(C75="",0,C75)*DASHBOARD!$C$6,IF(C75="",0,C75))-IF(D75="",0,D75))</f>
        <v/>
      </c>
      <c r="H75" s="2" t="n"/>
    </row>
    <row r="76">
      <c r="A76" s="21" t="n"/>
      <c r="B76" s="22" t="n"/>
      <c r="C76" s="23" t="n"/>
      <c r="D76" s="23" t="n"/>
      <c r="E76" s="22" t="n"/>
      <c r="F76" s="22" t="n"/>
      <c r="G76" s="23">
        <f>IF(B76="","",G75+IF(E76="Previsto",IF(C76="",0,C76)*DASHBOARD!$C$6,IF(C76="",0,C76))-IF(D76="",0,D76))</f>
        <v/>
      </c>
      <c r="H76" s="2" t="n"/>
    </row>
    <row r="77">
      <c r="A77" s="21" t="n"/>
      <c r="B77" s="22" t="n"/>
      <c r="C77" s="23" t="n"/>
      <c r="D77" s="23" t="n"/>
      <c r="E77" s="22" t="n"/>
      <c r="F77" s="22" t="n"/>
      <c r="G77" s="23">
        <f>IF(B77="","",G76+IF(E77="Previsto",IF(C77="",0,C77)*DASHBOARD!$C$6,IF(C77="",0,C77))-IF(D77="",0,D77))</f>
        <v/>
      </c>
      <c r="H77" s="2" t="n"/>
    </row>
    <row r="78">
      <c r="A78" s="21" t="n"/>
      <c r="B78" s="22" t="n"/>
      <c r="C78" s="23" t="n"/>
      <c r="D78" s="23" t="n"/>
      <c r="E78" s="22" t="n"/>
      <c r="F78" s="22" t="n"/>
      <c r="G78" s="23">
        <f>IF(B78="","",G77+IF(E78="Previsto",IF(C78="",0,C78)*DASHBOARD!$C$6,IF(C78="",0,C78))-IF(D78="",0,D78))</f>
        <v/>
      </c>
      <c r="H78" s="2" t="n"/>
    </row>
    <row r="79">
      <c r="A79" s="21" t="n"/>
      <c r="B79" s="22" t="n"/>
      <c r="C79" s="23" t="n"/>
      <c r="D79" s="23" t="n"/>
      <c r="E79" s="22" t="n"/>
      <c r="F79" s="22" t="n"/>
      <c r="G79" s="23">
        <f>IF(B79="","",G78+IF(E79="Previsto",IF(C79="",0,C79)*DASHBOARD!$C$6,IF(C79="",0,C79))-IF(D79="",0,D79))</f>
        <v/>
      </c>
      <c r="H79" s="2" t="n"/>
    </row>
    <row r="80">
      <c r="A80" s="21" t="n"/>
      <c r="B80" s="22" t="n"/>
      <c r="C80" s="23" t="n"/>
      <c r="D80" s="23" t="n"/>
      <c r="E80" s="22" t="n"/>
      <c r="F80" s="22" t="n"/>
      <c r="G80" s="23">
        <f>IF(B80="","",G79+IF(E80="Previsto",IF(C80="",0,C80)*DASHBOARD!$C$6,IF(C80="",0,C80))-IF(D80="",0,D80))</f>
        <v/>
      </c>
      <c r="H80" s="2" t="n"/>
    </row>
    <row r="81">
      <c r="A81" s="21" t="n"/>
      <c r="B81" s="22" t="n"/>
      <c r="C81" s="23" t="n"/>
      <c r="D81" s="23" t="n"/>
      <c r="E81" s="22" t="n"/>
      <c r="F81" s="22" t="n"/>
      <c r="G81" s="23">
        <f>IF(B81="","",G80+IF(E81="Previsto",IF(C81="",0,C81)*DASHBOARD!$C$6,IF(C81="",0,C81))-IF(D81="",0,D81))</f>
        <v/>
      </c>
      <c r="H81" s="2" t="n"/>
    </row>
    <row r="82">
      <c r="A82" s="21" t="n"/>
      <c r="B82" s="22" t="n"/>
      <c r="C82" s="23" t="n"/>
      <c r="D82" s="23" t="n"/>
      <c r="E82" s="22" t="n"/>
      <c r="F82" s="22" t="n"/>
      <c r="G82" s="23">
        <f>IF(B82="","",G81+IF(E82="Previsto",IF(C82="",0,C82)*DASHBOARD!$C$6,IF(C82="",0,C82))-IF(D82="",0,D82))</f>
        <v/>
      </c>
      <c r="H82" s="2" t="n"/>
    </row>
    <row r="83">
      <c r="A83" s="21" t="n"/>
      <c r="B83" s="22" t="n"/>
      <c r="C83" s="23" t="n"/>
      <c r="D83" s="23" t="n"/>
      <c r="E83" s="22" t="n"/>
      <c r="F83" s="22" t="n"/>
      <c r="G83" s="23">
        <f>IF(B83="","",G82+IF(E83="Previsto",IF(C83="",0,C83)*DASHBOARD!$C$6,IF(C83="",0,C83))-IF(D83="",0,D83))</f>
        <v/>
      </c>
      <c r="H83" s="2" t="n"/>
    </row>
    <row r="84">
      <c r="A84" s="21" t="n"/>
      <c r="B84" s="22" t="n"/>
      <c r="C84" s="23" t="n"/>
      <c r="D84" s="23" t="n"/>
      <c r="E84" s="22" t="n"/>
      <c r="F84" s="22" t="n"/>
      <c r="G84" s="23">
        <f>IF(B84="","",G83+IF(E84="Previsto",IF(C84="",0,C84)*DASHBOARD!$C$6,IF(C84="",0,C84))-IF(D84="",0,D84))</f>
        <v/>
      </c>
      <c r="H84" s="2" t="n"/>
    </row>
    <row r="85">
      <c r="A85" s="21" t="n"/>
      <c r="B85" s="22" t="n"/>
      <c r="C85" s="23" t="n"/>
      <c r="D85" s="23" t="n"/>
      <c r="E85" s="22" t="n"/>
      <c r="F85" s="22" t="n"/>
      <c r="G85" s="23">
        <f>IF(B85="","",G84+IF(E85="Previsto",IF(C85="",0,C85)*DASHBOARD!$C$6,IF(C85="",0,C85))-IF(D85="",0,D85))</f>
        <v/>
      </c>
      <c r="H85" s="2" t="n"/>
    </row>
    <row r="86">
      <c r="A86" s="21" t="n"/>
      <c r="B86" s="22" t="n"/>
      <c r="C86" s="23" t="n"/>
      <c r="D86" s="23" t="n"/>
      <c r="E86" s="22" t="n"/>
      <c r="F86" s="22" t="n"/>
      <c r="G86" s="23">
        <f>IF(B86="","",G85+IF(E86="Previsto",IF(C86="",0,C86)*DASHBOARD!$C$6,IF(C86="",0,C86))-IF(D86="",0,D86))</f>
        <v/>
      </c>
      <c r="H86" s="2" t="n"/>
    </row>
    <row r="87">
      <c r="A87" s="21" t="n"/>
      <c r="B87" s="22" t="n"/>
      <c r="C87" s="23" t="n"/>
      <c r="D87" s="23" t="n"/>
      <c r="E87" s="22" t="n"/>
      <c r="F87" s="22" t="n"/>
      <c r="G87" s="23">
        <f>IF(B87="","",G86+IF(E87="Previsto",IF(C87="",0,C87)*DASHBOARD!$C$6,IF(C87="",0,C87))-IF(D87="",0,D87))</f>
        <v/>
      </c>
      <c r="H87" s="2" t="n"/>
    </row>
    <row r="88">
      <c r="A88" s="21" t="n"/>
      <c r="B88" s="22" t="n"/>
      <c r="C88" s="23" t="n"/>
      <c r="D88" s="23" t="n"/>
      <c r="E88" s="22" t="n"/>
      <c r="F88" s="22" t="n"/>
      <c r="G88" s="23">
        <f>IF(B88="","",G87+IF(E88="Previsto",IF(C88="",0,C88)*DASHBOARD!$C$6,IF(C88="",0,C88))-IF(D88="",0,D88))</f>
        <v/>
      </c>
      <c r="H88" s="2" t="n"/>
    </row>
    <row r="89">
      <c r="A89" s="21" t="n"/>
      <c r="B89" s="22" t="n"/>
      <c r="C89" s="23" t="n"/>
      <c r="D89" s="23" t="n"/>
      <c r="E89" s="22" t="n"/>
      <c r="F89" s="22" t="n"/>
      <c r="G89" s="23">
        <f>IF(B89="","",G88+IF(E89="Previsto",IF(C89="",0,C89)*DASHBOARD!$C$6,IF(C89="",0,C89))-IF(D89="",0,D89))</f>
        <v/>
      </c>
      <c r="H89" s="2" t="n"/>
    </row>
    <row r="90">
      <c r="A90" s="21" t="n"/>
      <c r="B90" s="22" t="n"/>
      <c r="C90" s="23" t="n"/>
      <c r="D90" s="23" t="n"/>
      <c r="E90" s="22" t="n"/>
      <c r="F90" s="22" t="n"/>
      <c r="G90" s="23">
        <f>IF(B90="","",G89+IF(E90="Previsto",IF(C90="",0,C90)*DASHBOARD!$C$6,IF(C90="",0,C90))-IF(D90="",0,D90))</f>
        <v/>
      </c>
      <c r="H90" s="2" t="n"/>
    </row>
    <row r="91">
      <c r="A91" s="21" t="n"/>
      <c r="B91" s="22" t="n"/>
      <c r="C91" s="23" t="n"/>
      <c r="D91" s="23" t="n"/>
      <c r="E91" s="22" t="n"/>
      <c r="F91" s="22" t="n"/>
      <c r="G91" s="23">
        <f>IF(B91="","",G90+IF(E91="Previsto",IF(C91="",0,C91)*DASHBOARD!$C$6,IF(C91="",0,C91))-IF(D91="",0,D91))</f>
        <v/>
      </c>
      <c r="H91" s="2" t="n"/>
    </row>
    <row r="92">
      <c r="A92" s="21" t="n"/>
      <c r="B92" s="22" t="n"/>
      <c r="C92" s="23" t="n"/>
      <c r="D92" s="23" t="n"/>
      <c r="E92" s="22" t="n"/>
      <c r="F92" s="22" t="n"/>
      <c r="G92" s="23">
        <f>IF(B92="","",G91+IF(E92="Previsto",IF(C92="",0,C92)*DASHBOARD!$C$6,IF(C92="",0,C92))-IF(D92="",0,D92))</f>
        <v/>
      </c>
      <c r="H92" s="2" t="n"/>
    </row>
    <row r="93">
      <c r="A93" s="21" t="n"/>
      <c r="B93" s="22" t="n"/>
      <c r="C93" s="23" t="n"/>
      <c r="D93" s="23" t="n"/>
      <c r="E93" s="22" t="n"/>
      <c r="F93" s="22" t="n"/>
      <c r="G93" s="23">
        <f>IF(B93="","",G92+IF(E93="Previsto",IF(C93="",0,C93)*DASHBOARD!$C$6,IF(C93="",0,C93))-IF(D93="",0,D93))</f>
        <v/>
      </c>
      <c r="H93" s="2" t="n"/>
    </row>
    <row r="94">
      <c r="A94" s="21" t="n"/>
      <c r="B94" s="22" t="n"/>
      <c r="C94" s="23" t="n"/>
      <c r="D94" s="23" t="n"/>
      <c r="E94" s="22" t="n"/>
      <c r="F94" s="22" t="n"/>
      <c r="G94" s="23">
        <f>IF(B94="","",G93+IF(E94="Previsto",IF(C94="",0,C94)*DASHBOARD!$C$6,IF(C94="",0,C94))-IF(D94="",0,D94))</f>
        <v/>
      </c>
      <c r="H94" s="2" t="n"/>
    </row>
    <row r="95">
      <c r="A95" s="21" t="n"/>
      <c r="B95" s="22" t="n"/>
      <c r="C95" s="23" t="n"/>
      <c r="D95" s="23" t="n"/>
      <c r="E95" s="22" t="n"/>
      <c r="F95" s="22" t="n"/>
      <c r="G95" s="23">
        <f>IF(B95="","",G94+IF(E95="Previsto",IF(C95="",0,C95)*DASHBOARD!$C$6,IF(C95="",0,C95))-IF(D95="",0,D95))</f>
        <v/>
      </c>
      <c r="H95" s="2" t="n"/>
    </row>
    <row r="96">
      <c r="A96" s="21" t="n"/>
      <c r="B96" s="22" t="n"/>
      <c r="C96" s="23" t="n"/>
      <c r="D96" s="23" t="n"/>
      <c r="E96" s="22" t="n"/>
      <c r="F96" s="22" t="n"/>
      <c r="G96" s="23">
        <f>IF(B96="","",G95+IF(E96="Previsto",IF(C96="",0,C96)*DASHBOARD!$C$6,IF(C96="",0,C96))-IF(D96="",0,D96))</f>
        <v/>
      </c>
      <c r="H96" s="2" t="n"/>
    </row>
    <row r="97">
      <c r="A97" s="21" t="n"/>
      <c r="B97" s="22" t="n"/>
      <c r="C97" s="23" t="n"/>
      <c r="D97" s="23" t="n"/>
      <c r="E97" s="22" t="n"/>
      <c r="F97" s="22" t="n"/>
      <c r="G97" s="23">
        <f>IF(B97="","",G96+IF(E97="Previsto",IF(C97="",0,C97)*DASHBOARD!$C$6,IF(C97="",0,C97))-IF(D97="",0,D97))</f>
        <v/>
      </c>
      <c r="H97" s="2" t="n"/>
    </row>
    <row r="98">
      <c r="A98" s="21" t="n"/>
      <c r="B98" s="22" t="n"/>
      <c r="C98" s="23" t="n"/>
      <c r="D98" s="23" t="n"/>
      <c r="E98" s="22" t="n"/>
      <c r="F98" s="22" t="n"/>
      <c r="G98" s="23">
        <f>IF(B98="","",G97+IF(E98="Previsto",IF(C98="",0,C98)*DASHBOARD!$C$6,IF(C98="",0,C98))-IF(D98="",0,D98))</f>
        <v/>
      </c>
      <c r="H98" s="2" t="n"/>
    </row>
    <row r="99">
      <c r="A99" s="21" t="n"/>
      <c r="B99" s="22" t="n"/>
      <c r="C99" s="23" t="n"/>
      <c r="D99" s="23" t="n"/>
      <c r="E99" s="22" t="n"/>
      <c r="F99" s="22" t="n"/>
      <c r="G99" s="23">
        <f>IF(B99="","",G98+IF(E99="Previsto",IF(C99="",0,C99)*DASHBOARD!$C$6,IF(C99="",0,C99))-IF(D99="",0,D99))</f>
        <v/>
      </c>
      <c r="H99" s="2" t="n"/>
    </row>
    <row r="100">
      <c r="A100" s="21" t="n"/>
      <c r="B100" s="22" t="n"/>
      <c r="C100" s="23" t="n"/>
      <c r="D100" s="23" t="n"/>
      <c r="E100" s="22" t="n"/>
      <c r="F100" s="22" t="n"/>
      <c r="G100" s="23">
        <f>IF(B100="","",G99+IF(E100="Previsto",IF(C100="",0,C100)*DASHBOARD!$C$6,IF(C100="",0,C100))-IF(D100="",0,D100))</f>
        <v/>
      </c>
      <c r="H100" s="2" t="n"/>
    </row>
    <row r="101">
      <c r="A101" s="21" t="n"/>
      <c r="B101" s="22" t="n"/>
      <c r="C101" s="23" t="n"/>
      <c r="D101" s="23" t="n"/>
      <c r="E101" s="22" t="n"/>
      <c r="F101" s="22" t="n"/>
      <c r="G101" s="23">
        <f>IF(B101="","",G100+IF(E101="Previsto",IF(C101="",0,C101)*DASHBOARD!$C$6,IF(C101="",0,C101))-IF(D101="",0,D101))</f>
        <v/>
      </c>
      <c r="H101" s="2" t="n"/>
    </row>
    <row r="102">
      <c r="A102" s="21" t="n"/>
      <c r="B102" s="22" t="n"/>
      <c r="C102" s="23" t="n"/>
      <c r="D102" s="23" t="n"/>
      <c r="E102" s="22" t="n"/>
      <c r="F102" s="22" t="n"/>
      <c r="G102" s="23">
        <f>IF(B102="","",G101+IF(E102="Previsto",IF(C102="",0,C102)*DASHBOARD!$C$6,IF(C102="",0,C102))-IF(D102="",0,D102))</f>
        <v/>
      </c>
      <c r="H102" s="2" t="n"/>
    </row>
    <row r="103">
      <c r="A103" s="21" t="n"/>
      <c r="B103" s="22" t="n"/>
      <c r="C103" s="23" t="n"/>
      <c r="D103" s="23" t="n"/>
      <c r="E103" s="22" t="n"/>
      <c r="F103" s="22" t="n"/>
      <c r="G103" s="23">
        <f>IF(B103="","",G102+IF(E103="Previsto",IF(C103="",0,C103)*DASHBOARD!$C$6,IF(C103="",0,C103))-IF(D103="",0,D103))</f>
        <v/>
      </c>
      <c r="H103" s="2" t="n"/>
    </row>
    <row r="104">
      <c r="A104" s="21" t="n"/>
      <c r="B104" s="22" t="n"/>
      <c r="C104" s="23" t="n"/>
      <c r="D104" s="23" t="n"/>
      <c r="E104" s="22" t="n"/>
      <c r="F104" s="22" t="n"/>
      <c r="G104" s="23">
        <f>IF(B104="","",G103+IF(E104="Previsto",IF(C104="",0,C104)*DASHBOARD!$C$6,IF(C104="",0,C104))-IF(D104="",0,D104))</f>
        <v/>
      </c>
      <c r="H104" s="2" t="n"/>
    </row>
    <row r="105">
      <c r="A105" s="21" t="n"/>
      <c r="B105" s="22" t="n"/>
      <c r="C105" s="23" t="n"/>
      <c r="D105" s="23" t="n"/>
      <c r="E105" s="22" t="n"/>
      <c r="F105" s="22" t="n"/>
      <c r="G105" s="23">
        <f>IF(B105="","",G104+IF(E105="Previsto",IF(C105="",0,C105)*DASHBOARD!$C$6,IF(C105="",0,C105))-IF(D105="",0,D105))</f>
        <v/>
      </c>
      <c r="H105" s="2" t="n"/>
    </row>
    <row r="106">
      <c r="A106" s="21" t="n"/>
      <c r="B106" s="22" t="n"/>
      <c r="C106" s="23" t="n"/>
      <c r="D106" s="23" t="n"/>
      <c r="E106" s="22" t="n"/>
      <c r="F106" s="22" t="n"/>
      <c r="G106" s="23">
        <f>IF(B106="","",G105+IF(E106="Previsto",IF(C106="",0,C106)*DASHBOARD!$C$6,IF(C106="",0,C106))-IF(D106="",0,D106))</f>
        <v/>
      </c>
      <c r="H106" s="2" t="n"/>
    </row>
    <row r="107">
      <c r="A107" s="21" t="n"/>
      <c r="B107" s="22" t="n"/>
      <c r="C107" s="23" t="n"/>
      <c r="D107" s="23" t="n"/>
      <c r="E107" s="22" t="n"/>
      <c r="F107" s="22" t="n"/>
      <c r="G107" s="23">
        <f>IF(B107="","",G106+IF(E107="Previsto",IF(C107="",0,C107)*DASHBOARD!$C$6,IF(C107="",0,C107))-IF(D107="",0,D107))</f>
        <v/>
      </c>
      <c r="H107" s="2" t="n"/>
    </row>
    <row r="108">
      <c r="A108" s="21" t="n"/>
      <c r="B108" s="22" t="n"/>
      <c r="C108" s="23" t="n"/>
      <c r="D108" s="23" t="n"/>
      <c r="E108" s="22" t="n"/>
      <c r="F108" s="22" t="n"/>
      <c r="G108" s="23">
        <f>IF(B108="","",G107+IF(E108="Previsto",IF(C108="",0,C108)*DASHBOARD!$C$6,IF(C108="",0,C108))-IF(D108="",0,D108))</f>
        <v/>
      </c>
      <c r="H108" s="2" t="n"/>
    </row>
    <row r="109">
      <c r="A109" s="21" t="n"/>
      <c r="B109" s="22" t="n"/>
      <c r="C109" s="23" t="n"/>
      <c r="D109" s="23" t="n"/>
      <c r="E109" s="22" t="n"/>
      <c r="F109" s="22" t="n"/>
      <c r="G109" s="23">
        <f>IF(B109="","",G108+IF(E109="Previsto",IF(C109="",0,C109)*DASHBOARD!$C$6,IF(C109="",0,C109))-IF(D109="",0,D109))</f>
        <v/>
      </c>
      <c r="H109" s="2" t="n"/>
    </row>
    <row r="110">
      <c r="A110" s="21" t="n"/>
      <c r="B110" s="22" t="n"/>
      <c r="C110" s="23" t="n"/>
      <c r="D110" s="23" t="n"/>
      <c r="E110" s="22" t="n"/>
      <c r="F110" s="22" t="n"/>
      <c r="G110" s="23">
        <f>IF(B110="","",G109+IF(E110="Previsto",IF(C110="",0,C110)*DASHBOARD!$C$6,IF(C110="",0,C110))-IF(D110="",0,D110))</f>
        <v/>
      </c>
      <c r="H110" s="2" t="n"/>
    </row>
    <row r="111">
      <c r="A111" s="21" t="n"/>
      <c r="B111" s="22" t="n"/>
      <c r="C111" s="23" t="n"/>
      <c r="D111" s="23" t="n"/>
      <c r="E111" s="22" t="n"/>
      <c r="F111" s="22" t="n"/>
      <c r="G111" s="23">
        <f>IF(B111="","",G110+IF(E111="Previsto",IF(C111="",0,C111)*DASHBOARD!$C$6,IF(C111="",0,C111))-IF(D111="",0,D111))</f>
        <v/>
      </c>
      <c r="H111" s="2" t="n"/>
    </row>
    <row r="112">
      <c r="A112" s="21" t="n"/>
      <c r="B112" s="22" t="n"/>
      <c r="C112" s="23" t="n"/>
      <c r="D112" s="23" t="n"/>
      <c r="E112" s="22" t="n"/>
      <c r="F112" s="22" t="n"/>
      <c r="G112" s="23">
        <f>IF(B112="","",G111+IF(E112="Previsto",IF(C112="",0,C112)*DASHBOARD!$C$6,IF(C112="",0,C112))-IF(D112="",0,D112))</f>
        <v/>
      </c>
      <c r="H112" s="2" t="n"/>
    </row>
    <row r="113">
      <c r="A113" s="21" t="n"/>
      <c r="B113" s="22" t="n"/>
      <c r="C113" s="23" t="n"/>
      <c r="D113" s="23" t="n"/>
      <c r="E113" s="22" t="n"/>
      <c r="F113" s="22" t="n"/>
      <c r="G113" s="23">
        <f>IF(B113="","",G112+IF(E113="Previsto",IF(C113="",0,C113)*DASHBOARD!$C$6,IF(C113="",0,C113))-IF(D113="",0,D113))</f>
        <v/>
      </c>
      <c r="H113" s="2" t="n"/>
    </row>
    <row r="114">
      <c r="A114" s="21" t="n"/>
      <c r="B114" s="22" t="n"/>
      <c r="C114" s="23" t="n"/>
      <c r="D114" s="23" t="n"/>
      <c r="E114" s="22" t="n"/>
      <c r="F114" s="22" t="n"/>
      <c r="G114" s="23">
        <f>IF(B114="","",G113+IF(E114="Previsto",IF(C114="",0,C114)*DASHBOARD!$C$6,IF(C114="",0,C114))-IF(D114="",0,D114))</f>
        <v/>
      </c>
      <c r="H114" s="2" t="n"/>
    </row>
    <row r="115">
      <c r="A115" s="21" t="n"/>
      <c r="B115" s="22" t="n"/>
      <c r="C115" s="23" t="n"/>
      <c r="D115" s="23" t="n"/>
      <c r="E115" s="22" t="n"/>
      <c r="F115" s="22" t="n"/>
      <c r="G115" s="23">
        <f>IF(B115="","",G114+IF(E115="Previsto",IF(C115="",0,C115)*DASHBOARD!$C$6,IF(C115="",0,C115))-IF(D115="",0,D115))</f>
        <v/>
      </c>
      <c r="H115" s="2" t="n"/>
    </row>
    <row r="116">
      <c r="A116" s="21" t="n"/>
      <c r="B116" s="22" t="n"/>
      <c r="C116" s="23" t="n"/>
      <c r="D116" s="23" t="n"/>
      <c r="E116" s="22" t="n"/>
      <c r="F116" s="22" t="n"/>
      <c r="G116" s="23">
        <f>IF(B116="","",G115+IF(E116="Previsto",IF(C116="",0,C116)*DASHBOARD!$C$6,IF(C116="",0,C116))-IF(D116="",0,D116))</f>
        <v/>
      </c>
      <c r="H116" s="2" t="n"/>
    </row>
    <row r="117">
      <c r="A117" s="21" t="n"/>
      <c r="B117" s="22" t="n"/>
      <c r="C117" s="23" t="n"/>
      <c r="D117" s="23" t="n"/>
      <c r="E117" s="22" t="n"/>
      <c r="F117" s="22" t="n"/>
      <c r="G117" s="23">
        <f>IF(B117="","",G116+IF(E117="Previsto",IF(C117="",0,C117)*DASHBOARD!$C$6,IF(C117="",0,C117))-IF(D117="",0,D117))</f>
        <v/>
      </c>
      <c r="H117" s="2" t="n"/>
    </row>
    <row r="118">
      <c r="A118" s="21" t="n"/>
      <c r="B118" s="22" t="n"/>
      <c r="C118" s="23" t="n"/>
      <c r="D118" s="23" t="n"/>
      <c r="E118" s="22" t="n"/>
      <c r="F118" s="22" t="n"/>
      <c r="G118" s="23">
        <f>IF(B118="","",G117+IF(E118="Previsto",IF(C118="",0,C118)*DASHBOARD!$C$6,IF(C118="",0,C118))-IF(D118="",0,D118))</f>
        <v/>
      </c>
      <c r="H118" s="2" t="n"/>
    </row>
    <row r="119">
      <c r="A119" s="21" t="n"/>
      <c r="B119" s="22" t="n"/>
      <c r="C119" s="23" t="n"/>
      <c r="D119" s="23" t="n"/>
      <c r="E119" s="22" t="n"/>
      <c r="F119" s="22" t="n"/>
      <c r="G119" s="23">
        <f>IF(B119="","",G118+IF(E119="Previsto",IF(C119="",0,C119)*DASHBOARD!$C$6,IF(C119="",0,C119))-IF(D119="",0,D119))</f>
        <v/>
      </c>
      <c r="H119" s="2" t="n"/>
    </row>
    <row r="120">
      <c r="A120" s="21" t="n"/>
      <c r="B120" s="22" t="n"/>
      <c r="C120" s="23" t="n"/>
      <c r="D120" s="23" t="n"/>
      <c r="E120" s="22" t="n"/>
      <c r="F120" s="22" t="n"/>
      <c r="G120" s="23">
        <f>IF(B120="","",G119+IF(E120="Previsto",IF(C120="",0,C120)*DASHBOARD!$C$6,IF(C120="",0,C120))-IF(D120="",0,D120))</f>
        <v/>
      </c>
      <c r="H120" s="2" t="n"/>
    </row>
    <row r="121">
      <c r="A121" s="21" t="n"/>
      <c r="B121" s="22" t="n"/>
      <c r="C121" s="23" t="n"/>
      <c r="D121" s="23" t="n"/>
      <c r="E121" s="22" t="n"/>
      <c r="F121" s="22" t="n"/>
      <c r="G121" s="23">
        <f>IF(B121="","",G120+IF(E121="Previsto",IF(C121="",0,C121)*DASHBOARD!$C$6,IF(C121="",0,C121))-IF(D121="",0,D121))</f>
        <v/>
      </c>
      <c r="H121" s="2" t="n"/>
    </row>
    <row r="122">
      <c r="A122" s="21" t="n"/>
      <c r="B122" s="22" t="n"/>
      <c r="C122" s="23" t="n"/>
      <c r="D122" s="23" t="n"/>
      <c r="E122" s="22" t="n"/>
      <c r="F122" s="22" t="n"/>
      <c r="G122" s="23">
        <f>IF(B122="","",G121+IF(E122="Previsto",IF(C122="",0,C122)*DASHBOARD!$C$6,IF(C122="",0,C122))-IF(D122="",0,D122))</f>
        <v/>
      </c>
      <c r="H122" s="2" t="n"/>
    </row>
    <row r="123">
      <c r="A123" s="21" t="n"/>
      <c r="B123" s="22" t="n"/>
      <c r="C123" s="23" t="n"/>
      <c r="D123" s="23" t="n"/>
      <c r="E123" s="22" t="n"/>
      <c r="F123" s="22" t="n"/>
      <c r="G123" s="23">
        <f>IF(B123="","",G122+IF(E123="Previsto",IF(C123="",0,C123)*DASHBOARD!$C$6,IF(C123="",0,C123))-IF(D123="",0,D123))</f>
        <v/>
      </c>
      <c r="H123" s="2" t="n"/>
    </row>
    <row r="124">
      <c r="A124" s="21" t="n"/>
      <c r="B124" s="22" t="n"/>
      <c r="C124" s="23" t="n"/>
      <c r="D124" s="23" t="n"/>
      <c r="E124" s="22" t="n"/>
      <c r="F124" s="22" t="n"/>
      <c r="G124" s="23">
        <f>IF(B124="","",G123+IF(E124="Previsto",IF(C124="",0,C124)*DASHBOARD!$C$6,IF(C124="",0,C124))-IF(D124="",0,D124))</f>
        <v/>
      </c>
      <c r="H124" s="2" t="n"/>
    </row>
    <row r="125">
      <c r="A125" s="21" t="n"/>
      <c r="B125" s="22" t="n"/>
      <c r="C125" s="23" t="n"/>
      <c r="D125" s="23" t="n"/>
      <c r="E125" s="22" t="n"/>
      <c r="F125" s="22" t="n"/>
      <c r="G125" s="23">
        <f>IF(B125="","",G124+IF(E125="Previsto",IF(C125="",0,C125)*DASHBOARD!$C$6,IF(C125="",0,C125))-IF(D125="",0,D125))</f>
        <v/>
      </c>
      <c r="H125" s="2" t="n"/>
    </row>
    <row r="126">
      <c r="A126" s="21" t="n"/>
      <c r="B126" s="22" t="n"/>
      <c r="C126" s="23" t="n"/>
      <c r="D126" s="23" t="n"/>
      <c r="E126" s="22" t="n"/>
      <c r="F126" s="22" t="n"/>
      <c r="G126" s="23">
        <f>IF(B126="","",G125+IF(E126="Previsto",IF(C126="",0,C126)*DASHBOARD!$C$6,IF(C126="",0,C126))-IF(D126="",0,D126))</f>
        <v/>
      </c>
      <c r="H126" s="2" t="n"/>
    </row>
    <row r="127">
      <c r="A127" s="21" t="n"/>
      <c r="B127" s="22" t="n"/>
      <c r="C127" s="23" t="n"/>
      <c r="D127" s="23" t="n"/>
      <c r="E127" s="22" t="n"/>
      <c r="F127" s="22" t="n"/>
      <c r="G127" s="23">
        <f>IF(B127="","",G126+IF(E127="Previsto",IF(C127="",0,C127)*DASHBOARD!$C$6,IF(C127="",0,C127))-IF(D127="",0,D127))</f>
        <v/>
      </c>
      <c r="H127" s="2" t="n"/>
    </row>
    <row r="128">
      <c r="A128" s="21" t="n"/>
      <c r="B128" s="22" t="n"/>
      <c r="C128" s="23" t="n"/>
      <c r="D128" s="23" t="n"/>
      <c r="E128" s="22" t="n"/>
      <c r="F128" s="22" t="n"/>
      <c r="G128" s="23">
        <f>IF(B128="","",G127+IF(E128="Previsto",IF(C128="",0,C128)*DASHBOARD!$C$6,IF(C128="",0,C128))-IF(D128="",0,D128))</f>
        <v/>
      </c>
      <c r="H128" s="2" t="n"/>
    </row>
    <row r="129">
      <c r="A129" s="21" t="n"/>
      <c r="B129" s="22" t="n"/>
      <c r="C129" s="23" t="n"/>
      <c r="D129" s="23" t="n"/>
      <c r="E129" s="22" t="n"/>
      <c r="F129" s="22" t="n"/>
      <c r="G129" s="23">
        <f>IF(B129="","",G128+IF(E129="Previsto",IF(C129="",0,C129)*DASHBOARD!$C$6,IF(C129="",0,C129))-IF(D129="",0,D129))</f>
        <v/>
      </c>
      <c r="H129" s="2" t="n"/>
    </row>
    <row r="130">
      <c r="A130" s="21" t="n"/>
      <c r="B130" s="22" t="n"/>
      <c r="C130" s="23" t="n"/>
      <c r="D130" s="23" t="n"/>
      <c r="E130" s="22" t="n"/>
      <c r="F130" s="22" t="n"/>
      <c r="G130" s="23">
        <f>IF(B130="","",G129+IF(E130="Previsto",IF(C130="",0,C130)*DASHBOARD!$C$6,IF(C130="",0,C130))-IF(D130="",0,D130))</f>
        <v/>
      </c>
      <c r="H130" s="2" t="n"/>
    </row>
    <row r="131">
      <c r="A131" s="21" t="n"/>
      <c r="B131" s="22" t="n"/>
      <c r="C131" s="23" t="n"/>
      <c r="D131" s="23" t="n"/>
      <c r="E131" s="22" t="n"/>
      <c r="F131" s="22" t="n"/>
      <c r="G131" s="23">
        <f>IF(B131="","",G130+IF(E131="Previsto",IF(C131="",0,C131)*DASHBOARD!$C$6,IF(C131="",0,C131))-IF(D131="",0,D131))</f>
        <v/>
      </c>
      <c r="H131" s="2" t="n"/>
    </row>
    <row r="132">
      <c r="A132" s="21" t="n"/>
      <c r="B132" s="22" t="n"/>
      <c r="C132" s="23" t="n"/>
      <c r="D132" s="23" t="n"/>
      <c r="E132" s="22" t="n"/>
      <c r="F132" s="22" t="n"/>
      <c r="G132" s="23">
        <f>IF(B132="","",G131+IF(E132="Previsto",IF(C132="",0,C132)*DASHBOARD!$C$6,IF(C132="",0,C132))-IF(D132="",0,D132))</f>
        <v/>
      </c>
      <c r="H132" s="2" t="n"/>
    </row>
    <row r="133">
      <c r="A133" s="21" t="n"/>
      <c r="B133" s="22" t="n"/>
      <c r="C133" s="23" t="n"/>
      <c r="D133" s="23" t="n"/>
      <c r="E133" s="22" t="n"/>
      <c r="F133" s="22" t="n"/>
      <c r="G133" s="23">
        <f>IF(B133="","",G132+IF(E133="Previsto",IF(C133="",0,C133)*DASHBOARD!$C$6,IF(C133="",0,C133))-IF(D133="",0,D133))</f>
        <v/>
      </c>
      <c r="H133" s="2" t="n"/>
    </row>
    <row r="134">
      <c r="A134" s="21" t="n"/>
      <c r="B134" s="22" t="n"/>
      <c r="C134" s="23" t="n"/>
      <c r="D134" s="23" t="n"/>
      <c r="E134" s="22" t="n"/>
      <c r="F134" s="22" t="n"/>
      <c r="G134" s="23">
        <f>IF(B134="","",G133+IF(E134="Previsto",IF(C134="",0,C134)*DASHBOARD!$C$6,IF(C134="",0,C134))-IF(D134="",0,D134))</f>
        <v/>
      </c>
      <c r="H134" s="2" t="n"/>
    </row>
    <row r="135">
      <c r="A135" s="21" t="n"/>
      <c r="B135" s="22" t="n"/>
      <c r="C135" s="23" t="n"/>
      <c r="D135" s="23" t="n"/>
      <c r="E135" s="22" t="n"/>
      <c r="F135" s="22" t="n"/>
      <c r="G135" s="23">
        <f>IF(B135="","",G134+IF(E135="Previsto",IF(C135="",0,C135)*DASHBOARD!$C$6,IF(C135="",0,C135))-IF(D135="",0,D135))</f>
        <v/>
      </c>
      <c r="H135" s="2" t="n"/>
    </row>
    <row r="136">
      <c r="A136" s="21" t="n"/>
      <c r="B136" s="22" t="n"/>
      <c r="C136" s="23" t="n"/>
      <c r="D136" s="23" t="n"/>
      <c r="E136" s="22" t="n"/>
      <c r="F136" s="22" t="n"/>
      <c r="G136" s="23">
        <f>IF(B136="","",G135+IF(E136="Previsto",IF(C136="",0,C136)*DASHBOARD!$C$6,IF(C136="",0,C136))-IF(D136="",0,D136))</f>
        <v/>
      </c>
      <c r="H136" s="2" t="n"/>
    </row>
    <row r="137">
      <c r="A137" s="21" t="n"/>
      <c r="B137" s="22" t="n"/>
      <c r="C137" s="23" t="n"/>
      <c r="D137" s="23" t="n"/>
      <c r="E137" s="22" t="n"/>
      <c r="F137" s="22" t="n"/>
      <c r="G137" s="23">
        <f>IF(B137="","",G136+IF(E137="Previsto",IF(C137="",0,C137)*DASHBOARD!$C$6,IF(C137="",0,C137))-IF(D137="",0,D137))</f>
        <v/>
      </c>
      <c r="H137" s="2" t="n"/>
    </row>
    <row r="138">
      <c r="A138" s="21" t="n"/>
      <c r="B138" s="22" t="n"/>
      <c r="C138" s="23" t="n"/>
      <c r="D138" s="23" t="n"/>
      <c r="E138" s="22" t="n"/>
      <c r="F138" s="22" t="n"/>
      <c r="G138" s="23">
        <f>IF(B138="","",G137+IF(E138="Previsto",IF(C138="",0,C138)*DASHBOARD!$C$6,IF(C138="",0,C138))-IF(D138="",0,D138))</f>
        <v/>
      </c>
      <c r="H138" s="2" t="n"/>
    </row>
    <row r="139">
      <c r="A139" s="21" t="n"/>
      <c r="B139" s="22" t="n"/>
      <c r="C139" s="23" t="n"/>
      <c r="D139" s="23" t="n"/>
      <c r="E139" s="22" t="n"/>
      <c r="F139" s="22" t="n"/>
      <c r="G139" s="23">
        <f>IF(B139="","",G138+IF(E139="Previsto",IF(C139="",0,C139)*DASHBOARD!$C$6,IF(C139="",0,C139))-IF(D139="",0,D139))</f>
        <v/>
      </c>
      <c r="H139" s="2" t="n"/>
    </row>
    <row r="140">
      <c r="A140" s="21" t="n"/>
      <c r="B140" s="22" t="n"/>
      <c r="C140" s="23" t="n"/>
      <c r="D140" s="23" t="n"/>
      <c r="E140" s="22" t="n"/>
      <c r="F140" s="22" t="n"/>
      <c r="G140" s="23">
        <f>IF(B140="","",G139+IF(E140="Previsto",IF(C140="",0,C140)*DASHBOARD!$C$6,IF(C140="",0,C140))-IF(D140="",0,D140))</f>
        <v/>
      </c>
      <c r="H140" s="2" t="n"/>
    </row>
    <row r="141">
      <c r="A141" s="21" t="n"/>
      <c r="B141" s="22" t="n"/>
      <c r="C141" s="23" t="n"/>
      <c r="D141" s="23" t="n"/>
      <c r="E141" s="22" t="n"/>
      <c r="F141" s="22" t="n"/>
      <c r="G141" s="23">
        <f>IF(B141="","",G140+IF(E141="Previsto",IF(C141="",0,C141)*DASHBOARD!$C$6,IF(C141="",0,C141))-IF(D141="",0,D141))</f>
        <v/>
      </c>
      <c r="H141" s="2" t="n"/>
    </row>
    <row r="142">
      <c r="A142" s="21" t="n"/>
      <c r="B142" s="22" t="n"/>
      <c r="C142" s="23" t="n"/>
      <c r="D142" s="23" t="n"/>
      <c r="E142" s="22" t="n"/>
      <c r="F142" s="22" t="n"/>
      <c r="G142" s="23">
        <f>IF(B142="","",G141+IF(E142="Previsto",IF(C142="",0,C142)*DASHBOARD!$C$6,IF(C142="",0,C142))-IF(D142="",0,D142))</f>
        <v/>
      </c>
      <c r="H142" s="2" t="n"/>
    </row>
    <row r="143">
      <c r="A143" s="21" t="n"/>
      <c r="B143" s="22" t="n"/>
      <c r="C143" s="23" t="n"/>
      <c r="D143" s="23" t="n"/>
      <c r="E143" s="22" t="n"/>
      <c r="F143" s="22" t="n"/>
      <c r="G143" s="23">
        <f>IF(B143="","",G142+IF(E143="Previsto",IF(C143="",0,C143)*DASHBOARD!$C$6,IF(C143="",0,C143))-IF(D143="",0,D143))</f>
        <v/>
      </c>
      <c r="H143" s="2" t="n"/>
    </row>
    <row r="144">
      <c r="A144" s="21" t="n"/>
      <c r="B144" s="22" t="n"/>
      <c r="C144" s="23" t="n"/>
      <c r="D144" s="23" t="n"/>
      <c r="E144" s="22" t="n"/>
      <c r="F144" s="22" t="n"/>
      <c r="G144" s="23">
        <f>IF(B144="","",G143+IF(E144="Previsto",IF(C144="",0,C144)*DASHBOARD!$C$6,IF(C144="",0,C144))-IF(D144="",0,D144))</f>
        <v/>
      </c>
      <c r="H144" s="2" t="n"/>
    </row>
    <row r="145">
      <c r="A145" s="21" t="n"/>
      <c r="B145" s="22" t="n"/>
      <c r="C145" s="23" t="n"/>
      <c r="D145" s="23" t="n"/>
      <c r="E145" s="22" t="n"/>
      <c r="F145" s="22" t="n"/>
      <c r="G145" s="23">
        <f>IF(B145="","",G144+IF(E145="Previsto",IF(C145="",0,C145)*DASHBOARD!$C$6,IF(C145="",0,C145))-IF(D145="",0,D145))</f>
        <v/>
      </c>
      <c r="H145" s="2" t="n"/>
    </row>
    <row r="146">
      <c r="A146" s="21" t="n"/>
      <c r="B146" s="22" t="n"/>
      <c r="C146" s="23" t="n"/>
      <c r="D146" s="23" t="n"/>
      <c r="E146" s="22" t="n"/>
      <c r="F146" s="22" t="n"/>
      <c r="G146" s="23">
        <f>IF(B146="","",G145+IF(E146="Previsto",IF(C146="",0,C146)*DASHBOARD!$C$6,IF(C146="",0,C146))-IF(D146="",0,D146))</f>
        <v/>
      </c>
      <c r="H146" s="2" t="n"/>
    </row>
    <row r="147">
      <c r="A147" s="21" t="n"/>
      <c r="B147" s="22" t="n"/>
      <c r="C147" s="23" t="n"/>
      <c r="D147" s="23" t="n"/>
      <c r="E147" s="22" t="n"/>
      <c r="F147" s="22" t="n"/>
      <c r="G147" s="23">
        <f>IF(B147="","",G146+IF(E147="Previsto",IF(C147="",0,C147)*DASHBOARD!$C$6,IF(C147="",0,C147))-IF(D147="",0,D147))</f>
        <v/>
      </c>
      <c r="H147" s="2" t="n"/>
    </row>
    <row r="148">
      <c r="A148" s="21" t="n"/>
      <c r="B148" s="22" t="n"/>
      <c r="C148" s="23" t="n"/>
      <c r="D148" s="23" t="n"/>
      <c r="E148" s="22" t="n"/>
      <c r="F148" s="22" t="n"/>
      <c r="G148" s="23">
        <f>IF(B148="","",G147+IF(E148="Previsto",IF(C148="",0,C148)*DASHBOARD!$C$6,IF(C148="",0,C148))-IF(D148="",0,D148))</f>
        <v/>
      </c>
      <c r="H148" s="2" t="n"/>
    </row>
    <row r="149">
      <c r="A149" s="21" t="n"/>
      <c r="B149" s="22" t="n"/>
      <c r="C149" s="23" t="n"/>
      <c r="D149" s="23" t="n"/>
      <c r="E149" s="22" t="n"/>
      <c r="F149" s="22" t="n"/>
      <c r="G149" s="23">
        <f>IF(B149="","",G148+IF(E149="Previsto",IF(C149="",0,C149)*DASHBOARD!$C$6,IF(C149="",0,C149))-IF(D149="",0,D149))</f>
        <v/>
      </c>
      <c r="H149" s="2" t="n"/>
    </row>
    <row r="150">
      <c r="A150" s="21" t="n"/>
      <c r="B150" s="22" t="n"/>
      <c r="C150" s="23" t="n"/>
      <c r="D150" s="23" t="n"/>
      <c r="E150" s="22" t="n"/>
      <c r="F150" s="22" t="n"/>
      <c r="G150" s="23">
        <f>IF(B150="","",G149+IF(E150="Previsto",IF(C150="",0,C150)*DASHBOARD!$C$6,IF(C150="",0,C150))-IF(D150="",0,D150))</f>
        <v/>
      </c>
      <c r="H150" s="2" t="n"/>
    </row>
    <row r="151">
      <c r="A151" s="21" t="n"/>
      <c r="B151" s="22" t="n"/>
      <c r="C151" s="23" t="n"/>
      <c r="D151" s="23" t="n"/>
      <c r="E151" s="22" t="n"/>
      <c r="F151" s="22" t="n"/>
      <c r="G151" s="23">
        <f>IF(B151="","",G150+IF(E151="Previsto",IF(C151="",0,C151)*DASHBOARD!$C$6,IF(C151="",0,C151))-IF(D151="",0,D151))</f>
        <v/>
      </c>
      <c r="H151" s="2" t="n"/>
    </row>
    <row r="152">
      <c r="A152" s="21" t="n"/>
      <c r="B152" s="22" t="n"/>
      <c r="C152" s="23" t="n"/>
      <c r="D152" s="23" t="n"/>
      <c r="E152" s="22" t="n"/>
      <c r="F152" s="22" t="n"/>
      <c r="G152" s="23">
        <f>IF(B152="","",G151+IF(E152="Previsto",IF(C152="",0,C152)*DASHBOARD!$C$6,IF(C152="",0,C152))-IF(D152="",0,D152))</f>
        <v/>
      </c>
      <c r="H152" s="2" t="n"/>
    </row>
    <row r="153">
      <c r="A153" s="21" t="n"/>
      <c r="B153" s="22" t="n"/>
      <c r="C153" s="23" t="n"/>
      <c r="D153" s="23" t="n"/>
      <c r="E153" s="22" t="n"/>
      <c r="F153" s="22" t="n"/>
      <c r="G153" s="23">
        <f>IF(B153="","",G152+IF(E153="Previsto",IF(C153="",0,C153)*DASHBOARD!$C$6,IF(C153="",0,C153))-IF(D153="",0,D153))</f>
        <v/>
      </c>
      <c r="H153" s="2" t="n"/>
    </row>
    <row r="154">
      <c r="A154" s="21" t="n"/>
      <c r="B154" s="22" t="n"/>
      <c r="C154" s="23" t="n"/>
      <c r="D154" s="23" t="n"/>
      <c r="E154" s="22" t="n"/>
      <c r="F154" s="22" t="n"/>
      <c r="G154" s="23">
        <f>IF(B154="","",G153+IF(E154="Previsto",IF(C154="",0,C154)*DASHBOARD!$C$6,IF(C154="",0,C154))-IF(D154="",0,D154))</f>
        <v/>
      </c>
      <c r="H154" s="2" t="n"/>
    </row>
    <row r="155">
      <c r="A155" s="21" t="n"/>
      <c r="B155" s="22" t="n"/>
      <c r="C155" s="23" t="n"/>
      <c r="D155" s="23" t="n"/>
      <c r="E155" s="22" t="n"/>
      <c r="F155" s="22" t="n"/>
      <c r="G155" s="23">
        <f>IF(B155="","",G154+IF(E155="Previsto",IF(C155="",0,C155)*DASHBOARD!$C$6,IF(C155="",0,C155))-IF(D155="",0,D155))</f>
        <v/>
      </c>
      <c r="H155" s="2" t="n"/>
    </row>
    <row r="156">
      <c r="A156" s="21" t="n"/>
      <c r="B156" s="22" t="n"/>
      <c r="C156" s="23" t="n"/>
      <c r="D156" s="23" t="n"/>
      <c r="E156" s="22" t="n"/>
      <c r="F156" s="22" t="n"/>
      <c r="G156" s="23">
        <f>IF(B156="","",G155+IF(E156="Previsto",IF(C156="",0,C156)*DASHBOARD!$C$6,IF(C156="",0,C156))-IF(D156="",0,D156))</f>
        <v/>
      </c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</sheetData>
  <mergeCells count="3">
    <mergeCell ref="A3:G3"/>
    <mergeCell ref="A2:G2"/>
    <mergeCell ref="A1:G1"/>
  </mergeCells>
  <conditionalFormatting sqref="G6:G156">
    <cfRule type="cellIs" priority="1" operator="lessThan" dxfId="0">
      <formula>0</formula>
    </cfRule>
    <cfRule type="colorScale" priority="2">
      <colorScale>
        <cfvo type="num" val="0"/>
        <cfvo type="num" val="10000"/>
        <cfvo type="max"/>
        <color rgb="00D9534F"/>
        <color rgb="00E0A94B"/>
        <color rgb="002E9E5B"/>
      </colorScale>
    </cfRule>
  </conditionalFormatting>
  <dataValidations count="2">
    <dataValidation sqref="E6:E156" showDropDown="0" showInputMessage="0" showErrorMessage="0" allowBlank="1" errorTitle="Valor inválido" error="Selecione um valor da lista" promptTitle="Trust Excel" prompt="Escolha uma opção" type="list">
      <formula1>"Realizado,Previsto"</formula1>
    </dataValidation>
    <dataValidation sqref="F6:F156" showDropDown="0" showInputMessage="0" showErrorMessage="0" allowBlank="1" errorTitle="Valor inválido" error="Selecione um valor da lista" promptTitle="Trust Excel" prompt="Escolha uma opção" type="list">
      <formula1>"Vendas,Custo,Fixo,Pessoal,Imposto,Growth,Recorrente,Outro"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2026-07-22T16:37:01Z</dcterms:created>
  <dcterms:modified xmlns:dcterms="http://purl.org/dc/terms/" xmlns:xsi="http://www.w3.org/2001/XMLSchema-instance" xsi:type="dcterms:W3CDTF">2026-07-22T16:37:02Z</dcterms:modified>
</cp:coreProperties>
</file>