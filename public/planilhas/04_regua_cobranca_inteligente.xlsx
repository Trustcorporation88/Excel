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TAS" sheetId="2" state="visible" r:id="rId2"/>
  </sheets>
  <definedNames>
    <definedName name="_xlnm.Print_Area" localSheetId="0">'DASHBOARD'!$A$1:$R$60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"/>
    <numFmt numFmtId="165" formatCode="yyyy-mm-dd"/>
    <numFmt numFmtId="166" formatCode="dd/mm/yy"/>
    <numFmt numFmtId="167" formatCode="#,##0;(#,##0);&quot;—&quot;"/>
    <numFmt numFmtId="168" formatCode="#,##0.0;(#,##0.0);&quot;—&quot;"/>
  </numFmts>
  <fonts count="20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9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D9534F"/>
      <sz val="18"/>
    </font>
    <font>
      <name val="Aptos Narrow"/>
      <b val="1"/>
      <color rgb="0043D07F"/>
      <sz val="18"/>
    </font>
    <font>
      <name val="Aptos Narrow"/>
      <b val="1"/>
      <color rgb="00E0A94B"/>
      <sz val="18"/>
    </font>
    <font>
      <name val="Aptos Narrow"/>
      <b val="1"/>
      <color rgb="00C99C66"/>
      <sz val="10"/>
    </font>
    <font>
      <name val="Aptos Narrow"/>
      <color rgb="008A9691"/>
      <sz val="8"/>
    </font>
    <font>
      <name val="Aptos Narrow"/>
      <color rgb="00C99C66"/>
      <sz val="8"/>
    </font>
    <font>
      <name val="Aptos Narrow"/>
      <b val="1"/>
      <color rgb="008A9691"/>
      <sz val="8"/>
    </font>
    <font>
      <name val="Aptos Narrow"/>
      <color rgb="0043D07F"/>
      <sz val="8"/>
    </font>
    <font>
      <name val="Aptos Narrow"/>
      <color rgb="008A9691"/>
      <sz val="7"/>
    </font>
    <font>
      <name val="Aptos Narrow"/>
      <color rgb="0043D07F"/>
      <sz val="11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8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1" fontId="1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164" fontId="5" fillId="2" borderId="1" pivotButton="0" quotePrefix="0" xfId="0"/>
    <xf numFmtId="0" fontId="13" fillId="0" borderId="0" applyAlignment="1" pivotButton="0" quotePrefix="0" xfId="0">
      <alignment horizontal="left" vertical="center" indent="1"/>
    </xf>
    <xf numFmtId="0" fontId="16" fillId="3" borderId="0" pivotButton="0" quotePrefix="0" xfId="0"/>
    <xf numFmtId="167" fontId="14" fillId="2" borderId="1" pivotButton="0" quotePrefix="0" xfId="0"/>
    <xf numFmtId="167" fontId="1" fillId="2" borderId="1" pivotButton="0" quotePrefix="0" xfId="0"/>
    <xf numFmtId="0" fontId="14" fillId="0" borderId="1" pivotButton="0" quotePrefix="0" xfId="0"/>
    <xf numFmtId="168" fontId="15" fillId="0" borderId="1" pivotButton="0" quotePrefix="0" xfId="0"/>
    <xf numFmtId="0" fontId="17" fillId="0" borderId="1" pivotButton="0" quotePrefix="0" xfId="0"/>
    <xf numFmtId="168" fontId="13" fillId="2" borderId="1" pivotButton="0" quotePrefix="0" xfId="0"/>
    <xf numFmtId="1" fontId="18" fillId="2" borderId="1" pivotButton="0" quotePrefix="0" xfId="0"/>
    <xf numFmtId="0" fontId="19" fillId="2" borderId="1" applyAlignment="1" pivotButton="0" quotePrefix="0" xfId="0">
      <alignment horizontal="center" vertical="center"/>
    </xf>
    <xf numFmtId="0" fontId="6" fillId="0" borderId="0" pivotButton="0" quotePrefix="0" xfId="0"/>
    <xf numFmtId="166" fontId="5" fillId="2" borderId="1" pivotButton="0" quotePrefix="0" xfId="0"/>
    <xf numFmtId="9" fontId="5" fillId="2" borderId="1" pivotButton="0" quotePrefix="0" xfId="0"/>
  </cellXfs>
  <cellStyles count="1">
    <cellStyle name="Normal" xfId="0" builtinId="0" hidden="0"/>
  </cellStyles>
  <dxfs count="3">
    <dxf>
      <font>
        <name val="Aptos Narrow"/>
        <b val="1"/>
        <color rgb="0043D07F"/>
        <sz val="9"/>
      </font>
    </dxf>
    <dxf>
      <font>
        <name val="Aptos Narrow"/>
        <b val="1"/>
        <color rgb="00D9534F"/>
        <sz val="9"/>
      </font>
    </dxf>
    <dxf>
      <font>
        <name val="Aptos Narrow"/>
        <b val="1"/>
        <color rgb="00FFFFFF"/>
        <sz val="9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Aging da carteira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'DASHBOARD'!$B$11:$B$15</f>
            </numRef>
          </cat>
          <val>
            <numRef>
              <f>'DASHBOARD'!$C$11:$C$15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 · a receber → esperado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'DASHBOARD'!C21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'DASHBOARD'!$B$22:$B$24</f>
            </numRef>
          </cat>
          <val>
            <numRef>
              <f>'DASHBOARD'!$C$22:$C$24</f>
            </numRef>
          </val>
        </ser>
        <ser>
          <idx val="1"/>
          <order val="1"/>
          <tx>
            <strRef>
              <f>'DASHBOARD'!D21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'DASHBOARD'!$B$22:$B$24</f>
            </numRef>
          </cat>
          <val>
            <numRef>
              <f>'DASHBOARD'!$D$22:$D$24</f>
            </numRef>
          </val>
        </ser>
        <ser>
          <idx val="2"/>
          <order val="2"/>
          <tx>
            <strRef>
              <f>'DASHBOARD'!E21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'DASHBOARD'!$B$22:$B$24</f>
            </numRef>
          </cat>
          <val>
            <numRef>
              <f>'DASHBOARD'!$E$22:$E$24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'DASHBOARD'!O21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'DASHBOARD'!$N$22:$N$26</f>
            </numRef>
          </cat>
          <val>
            <numRef>
              <f>'DASHBOARD'!$O$22:$O$26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19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29</row>
      <rowOff>0</rowOff>
    </from>
    <ext cx="3600000" cy="14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Régua de Cobrança Inteligente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DSO · aging · recuperação esperada · prioridade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TOTAL A RECEBER</t>
        </is>
      </c>
      <c r="C5" s="6" t="n"/>
      <c r="D5" s="5" t="inlineStr">
        <is>
          <t>EM ATRASO</t>
        </is>
      </c>
      <c r="E5" s="6" t="n"/>
      <c r="F5" s="5" t="inlineStr">
        <is>
          <t>RECUPERAÇÃO ESPERADA</t>
        </is>
      </c>
      <c r="G5" s="6" t="n"/>
      <c r="H5" s="5" t="inlineStr">
        <is>
          <t>DSO (dias méd. atraso)</t>
        </is>
      </c>
      <c r="I5" s="6" t="n"/>
      <c r="J5" s="5" t="inlineStr">
        <is>
          <t>PERDA POTENCIAL</t>
        </is>
      </c>
      <c r="K5" s="6" t="n"/>
      <c r="L5" s="2" t="n"/>
    </row>
    <row r="6" ht="26" customHeight="1">
      <c r="A6" s="2" t="n"/>
      <c r="B6" s="7">
        <f>Z40</f>
        <v/>
      </c>
      <c r="C6" s="6" t="n"/>
      <c r="D6" s="8">
        <f>Z41</f>
        <v/>
      </c>
      <c r="E6" s="6" t="n"/>
      <c r="F6" s="9">
        <f>Z42</f>
        <v/>
      </c>
      <c r="G6" s="6" t="n"/>
      <c r="H6" s="10">
        <f>Z44</f>
        <v/>
      </c>
      <c r="I6" s="6" t="n"/>
      <c r="J6" s="8">
        <f>Z40-Z42</f>
        <v/>
      </c>
      <c r="K6" s="6" t="n"/>
      <c r="L6" s="2" t="n"/>
    </row>
    <row r="7" ht="14" customHeight="1">
      <c r="A7" s="2" t="n"/>
      <c r="B7" s="11" t="inlineStr"/>
      <c r="C7" s="6" t="n"/>
      <c r="D7" s="11" t="inlineStr">
        <is>
          <t>títulos vencidos</t>
        </is>
      </c>
      <c r="E7" s="6" t="n"/>
      <c r="F7" s="11" t="inlineStr">
        <is>
          <t>ponderada por risco</t>
        </is>
      </c>
      <c r="G7" s="6" t="n"/>
      <c r="H7" s="11" t="inlineStr"/>
      <c r="I7" s="6" t="n"/>
      <c r="J7" s="11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12" t="inlineStr">
        <is>
          <t>AGING (faixas de atraso)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6" customHeight="1">
      <c r="A10" s="2" t="n"/>
      <c r="B10" s="13" t="inlineStr">
        <is>
          <t>Faixa</t>
        </is>
      </c>
      <c r="C10" s="13" t="inlineStr">
        <is>
          <t>Valor em aberto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14" t="inlineStr">
        <is>
          <t>A vencer</t>
        </is>
      </c>
      <c r="C11" s="15">
        <f>SUMIFS(CONTAS!$C:$C,CONTAS!$H:$H,B11,CONTAS!$F:$F,"Em aberto")</f>
        <v/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14" t="inlineStr">
        <is>
          <t>1-30</t>
        </is>
      </c>
      <c r="C12" s="15">
        <f>SUMIFS(CONTAS!$C:$C,CONTAS!$H:$H,B12,CONTAS!$F:$F,"Em aberto")</f>
        <v/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4" t="inlineStr">
        <is>
          <t>31-60</t>
        </is>
      </c>
      <c r="C13" s="15">
        <f>SUMIFS(CONTAS!$C:$C,CONTAS!$H:$H,B13,CONTAS!$F:$F,"Em aberto")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14" t="inlineStr">
        <is>
          <t>61-90</t>
        </is>
      </c>
      <c r="C14" s="15">
        <f>SUMIFS(CONTAS!$C:$C,CONTAS!$H:$H,B14,CONTAS!$F:$F,"Em aberto")</f>
        <v/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4" t="inlineStr">
        <is>
          <t>90+</t>
        </is>
      </c>
      <c r="C15" s="15">
        <f>SUMIFS(CONTAS!$C:$C,CONTAS!$H:$H,B15,CONTAS!$F:$F,"Em aberto")</f>
        <v/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12" t="inlineStr">
        <is>
          <t>Cascata da carteira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N20" s="16" t="inlineStr">
        <is>
          <t>Spark · aging</t>
        </is>
      </c>
    </row>
    <row r="21" ht="26" customHeight="1">
      <c r="A21" s="2" t="n"/>
      <c r="B21" s="13" t="inlineStr">
        <is>
          <t>Etapa</t>
        </is>
      </c>
      <c r="C21" s="13" t="inlineStr">
        <is>
          <t>Base</t>
        </is>
      </c>
      <c r="D21" s="13" t="inlineStr">
        <is>
          <t>Alta</t>
        </is>
      </c>
      <c r="E21" s="13" t="inlineStr">
        <is>
          <t>Baixa</t>
        </is>
      </c>
      <c r="F21" s="13" t="inlineStr">
        <is>
          <t>Total</t>
        </is>
      </c>
      <c r="G21" s="13" t="inlineStr">
        <is>
          <t>Δ</t>
        </is>
      </c>
      <c r="H21" s="2" t="n"/>
      <c r="I21" s="2" t="n"/>
      <c r="J21" s="2" t="n"/>
      <c r="K21" s="2" t="n"/>
      <c r="L21" s="2" t="n"/>
      <c r="N21" s="13" t="inlineStr">
        <is>
          <t>Ponto</t>
        </is>
      </c>
      <c r="O21" s="13" t="inlineStr">
        <is>
          <t>Valor</t>
        </is>
      </c>
      <c r="P21" s="17" t="inlineStr">
        <is>
          <t>Spark</t>
        </is>
      </c>
    </row>
    <row r="22">
      <c r="A22" s="2" t="n"/>
      <c r="B22" s="14" t="inlineStr">
        <is>
          <t>A receber</t>
        </is>
      </c>
      <c r="C22" s="18" t="n">
        <v>0</v>
      </c>
      <c r="D22" s="18">
        <f>IF(G22&gt;=0,G22,0)</f>
        <v/>
      </c>
      <c r="E22" s="18">
        <f>IF(G22&lt;0,-G22,0)</f>
        <v/>
      </c>
      <c r="F22" s="18">
        <f>G22</f>
        <v/>
      </c>
      <c r="G22" s="19">
        <f>$Z$40</f>
        <v/>
      </c>
      <c r="H22" s="2" t="n"/>
      <c r="I22" s="2" t="n"/>
      <c r="J22" s="2" t="n"/>
      <c r="K22" s="2" t="n"/>
      <c r="L22" s="2" t="n"/>
      <c r="N22" s="20" t="inlineStr">
        <is>
          <t>A vencer</t>
        </is>
      </c>
      <c r="O22" s="21">
        <f>C11</f>
        <v/>
      </c>
      <c r="P22" s="22">
        <f>IF(OR(O22="",NOT(ISNUMBER(O22))),"",REPT("▬",MAX(1,ROUND((O22-(MIN(O22:O26)))/MAX(1E-9,(MAX(O22:O26))-(MIN(O22:O26)))*10,0))))</f>
        <v/>
      </c>
    </row>
    <row r="23">
      <c r="A23" s="2" t="n"/>
      <c r="B23" s="14" t="inlineStr">
        <is>
          <t>− Perda potencial</t>
        </is>
      </c>
      <c r="C23" s="18">
        <f>IF(G23&gt;=0,F22,F22+G23)</f>
        <v/>
      </c>
      <c r="D23" s="18">
        <f>IF(G23&gt;=0,G23,0)</f>
        <v/>
      </c>
      <c r="E23" s="18">
        <f>IF(G23&lt;0,-G23,0)</f>
        <v/>
      </c>
      <c r="F23" s="18">
        <f>F22+G23</f>
        <v/>
      </c>
      <c r="G23" s="19">
        <f>-($Z$40-$Z$42)</f>
        <v/>
      </c>
      <c r="H23" s="2" t="n"/>
      <c r="I23" s="2" t="n"/>
      <c r="J23" s="2" t="n"/>
      <c r="K23" s="2" t="n"/>
      <c r="L23" s="2" t="n"/>
      <c r="N23" s="20" t="inlineStr">
        <is>
          <t>1-30</t>
        </is>
      </c>
      <c r="O23" s="21">
        <f>C12</f>
        <v/>
      </c>
      <c r="P23" s="22">
        <f>IF(OR(O23="",NOT(ISNUMBER(O23))),"",REPT("▬",MAX(1,ROUND((O23-(MIN(O22:O26)))/MAX(1E-9,(MAX(O22:O26))-(MIN(O22:O26)))*10,0))))</f>
        <v/>
      </c>
    </row>
    <row r="24">
      <c r="A24" s="2" t="n"/>
      <c r="B24" s="14" t="inlineStr">
        <is>
          <t>Recuperação esperada</t>
        </is>
      </c>
      <c r="C24" s="18" t="n">
        <v>0</v>
      </c>
      <c r="D24" s="18">
        <f>IF(G24&gt;=0,G24,0)</f>
        <v/>
      </c>
      <c r="E24" s="18">
        <f>IF(G24&lt;0,-G24,0)</f>
        <v/>
      </c>
      <c r="F24" s="18">
        <f>G24</f>
        <v/>
      </c>
      <c r="G24" s="19">
        <f>$Z$42</f>
        <v/>
      </c>
      <c r="H24" s="2" t="n"/>
      <c r="I24" s="2" t="n"/>
      <c r="J24" s="2" t="n"/>
      <c r="K24" s="2" t="n"/>
      <c r="L24" s="2" t="n"/>
      <c r="N24" s="20" t="inlineStr">
        <is>
          <t>31-60</t>
        </is>
      </c>
      <c r="O24" s="21">
        <f>C13</f>
        <v/>
      </c>
      <c r="P24" s="22">
        <f>IF(OR(O24="",NOT(ISNUMBER(O24))),"",REPT("▬",MAX(1,ROUND((O24-(MIN(O22:O26)))/MAX(1E-9,(MAX(O22:O26))-(MIN(O22:O26)))*10,0))))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N25" s="20" t="inlineStr">
        <is>
          <t>61-90</t>
        </is>
      </c>
      <c r="O25" s="21">
        <f>C14</f>
        <v/>
      </c>
      <c r="P25" s="22">
        <f>IF(OR(O25="",NOT(ISNUMBER(O25))),"",REPT("▬",MAX(1,ROUND((O25-(MIN(O22:O26)))/MAX(1E-9,(MAX(O22:O26))-(MIN(O22:O26)))*10,0))))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N26" s="20" t="inlineStr">
        <is>
          <t>90+</t>
        </is>
      </c>
      <c r="O26" s="21">
        <f>C15</f>
        <v/>
      </c>
      <c r="P26" s="22">
        <f>IF(OR(O26="",NOT(ISNUMBER(O26))),"",REPT("▬",MAX(1,ROUND((O26-(MIN(O22:O26)))/MAX(1E-9,(MAX(O22:O26))-(MIN(O22:O26)))*10,0))))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12" t="inlineStr">
        <is>
          <t>MINI-SPARKLINES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 ht="26" customHeight="1">
      <c r="A31" s="2" t="n"/>
      <c r="B31" s="13" t="inlineStr">
        <is>
          <t>Indicador</t>
        </is>
      </c>
      <c r="C31" s="13" t="inlineStr">
        <is>
          <t>Atual</t>
        </is>
      </c>
      <c r="D31" s="13" t="inlineStr">
        <is>
          <t>S1</t>
        </is>
      </c>
      <c r="E31" s="13" t="inlineStr">
        <is>
          <t>S2</t>
        </is>
      </c>
      <c r="F31" s="13" t="inlineStr">
        <is>
          <t>S3</t>
        </is>
      </c>
      <c r="G31" s="13" t="inlineStr">
        <is>
          <t>S4</t>
        </is>
      </c>
      <c r="H31" s="13" t="inlineStr">
        <is>
          <t>S5</t>
        </is>
      </c>
      <c r="I31" s="13" t="inlineStr">
        <is>
          <t>S6</t>
        </is>
      </c>
      <c r="J31" s="13" t="inlineStr">
        <is>
          <t>Spark</t>
        </is>
      </c>
      <c r="K31" s="2" t="n"/>
      <c r="L31" s="2" t="n"/>
    </row>
    <row r="32">
      <c r="A32" s="2" t="n"/>
      <c r="B32" s="14" t="inlineStr">
        <is>
          <t>DSO dias</t>
        </is>
      </c>
      <c r="C32" s="23">
        <f>$Z$44</f>
        <v/>
      </c>
      <c r="D32" s="24" t="n">
        <v>45</v>
      </c>
      <c r="E32" s="24" t="n">
        <v>40</v>
      </c>
      <c r="F32" s="24" t="n">
        <v>36</v>
      </c>
      <c r="G32" s="24" t="n">
        <v>33</v>
      </c>
      <c r="H32" s="24" t="n">
        <v>31</v>
      </c>
      <c r="I32" s="24">
        <f>$Z$44</f>
        <v/>
      </c>
      <c r="J32" s="25">
        <f>IF(D32=""," ",MID("▁▂▃▄▅▆▇█",MAX(1,MIN(8,ROUND((D32-(MIN(D32:I32)))/MAX(1E-9,(MAX(D32:I32))-(MIN(D32:I32)))*7+1,0))),1))&amp;IF(E32=""," ",MID("▁▂▃▄▅▆▇█",MAX(1,MIN(8,ROUND((E32-(MIN(D32:I32)))/MAX(1E-9,(MAX(D32:I32))-(MIN(D32:I32)))*7+1,0))),1))&amp;IF(F32=""," ",MID("▁▂▃▄▅▆▇█",MAX(1,MIN(8,ROUND((F32-(MIN(D32:I32)))/MAX(1E-9,(MAX(D32:I32))-(MIN(D32:I32)))*7+1,0))),1))&amp;IF(G32=""," ",MID("▁▂▃▄▅▆▇█",MAX(1,MIN(8,ROUND((G32-(MIN(D32:I32)))/MAX(1E-9,(MAX(D32:I32))-(MIN(D32:I32)))*7+1,0))),1))&amp;IF(H32=""," ",MID("▁▂▃▄▅▆▇█",MAX(1,MIN(8,ROUND((H32-(MIN(D32:I32)))/MAX(1E-9,(MAX(D32:I32))-(MIN(D32:I32)))*7+1,0))),1))&amp;IF(I32=""," ",MID("▁▂▃▄▅▆▇█",MAX(1,MIN(8,ROUND((I32-(MIN(D32:I32)))/MAX(1E-9,(MAX(D32:I32))-(MIN(D32:I32)))*7+1,0))),1))</f>
        <v/>
      </c>
      <c r="K32" s="2" t="n"/>
      <c r="L32" s="2" t="n"/>
    </row>
    <row r="33">
      <c r="A33" s="2" t="n"/>
      <c r="B33" s="14" t="inlineStr">
        <is>
          <t>Em atraso</t>
        </is>
      </c>
      <c r="C33" s="23">
        <f>$Z$41</f>
        <v/>
      </c>
      <c r="D33" s="24" t="n">
        <v>30000</v>
      </c>
      <c r="E33" s="24" t="n">
        <v>28000</v>
      </c>
      <c r="F33" s="24" t="n">
        <v>26000</v>
      </c>
      <c r="G33" s="24" t="n">
        <v>24000</v>
      </c>
      <c r="H33" s="24" t="n">
        <v>23000</v>
      </c>
      <c r="I33" s="24">
        <f>$Z$41</f>
        <v/>
      </c>
      <c r="J33" s="25">
        <f>IF(D33=""," ",MID("▁▂▃▄▅▆▇█",MAX(1,MIN(8,ROUND((D33-(MIN(D33:I33)))/MAX(1E-9,(MAX(D33:I33))-(MIN(D33:I33)))*7+1,0))),1))&amp;IF(E33=""," ",MID("▁▂▃▄▅▆▇█",MAX(1,MIN(8,ROUND((E33-(MIN(D33:I33)))/MAX(1E-9,(MAX(D33:I33))-(MIN(D33:I33)))*7+1,0))),1))&amp;IF(F33=""," ",MID("▁▂▃▄▅▆▇█",MAX(1,MIN(8,ROUND((F33-(MIN(D33:I33)))/MAX(1E-9,(MAX(D33:I33))-(MIN(D33:I33)))*7+1,0))),1))&amp;IF(G33=""," ",MID("▁▂▃▄▅▆▇█",MAX(1,MIN(8,ROUND((G33-(MIN(D33:I33)))/MAX(1E-9,(MAX(D33:I33))-(MIN(D33:I33)))*7+1,0))),1))&amp;IF(H33=""," ",MID("▁▂▃▄▅▆▇█",MAX(1,MIN(8,ROUND((H33-(MIN(D33:I33)))/MAX(1E-9,(MAX(D33:I33))-(MIN(D33:I33)))*7+1,0))),1))&amp;IF(I33=""," ",MID("▁▂▃▄▅▆▇█",MAX(1,MIN(8,ROUND((I33-(MIN(D33:I33)))/MAX(1E-9,(MAX(D33:I33))-(MIN(D33:I33)))*7+1,0))),1))</f>
        <v/>
      </c>
      <c r="K33" s="2" t="n"/>
      <c r="L33" s="2" t="n"/>
    </row>
    <row r="34">
      <c r="A34" s="2" t="n"/>
      <c r="B34" s="14" t="inlineStr">
        <is>
          <t>Esperado</t>
        </is>
      </c>
      <c r="C34" s="23">
        <f>$Z$42</f>
        <v/>
      </c>
      <c r="D34" s="24" t="n">
        <v>18000</v>
      </c>
      <c r="E34" s="24" t="n">
        <v>19000</v>
      </c>
      <c r="F34" s="24" t="n">
        <v>20000</v>
      </c>
      <c r="G34" s="24" t="n">
        <v>21000</v>
      </c>
      <c r="H34" s="24" t="n">
        <v>21500</v>
      </c>
      <c r="I34" s="24">
        <f>$Z$42</f>
        <v/>
      </c>
      <c r="J34" s="25">
        <f>IF(D34=""," ",MID("▁▂▃▄▅▆▇█",MAX(1,MIN(8,ROUND((D34-(MIN(D34:I34)))/MAX(1E-9,(MAX(D34:I34))-(MIN(D34:I34)))*7+1,0))),1))&amp;IF(E34=""," ",MID("▁▂▃▄▅▆▇█",MAX(1,MIN(8,ROUND((E34-(MIN(D34:I34)))/MAX(1E-9,(MAX(D34:I34))-(MIN(D34:I34)))*7+1,0))),1))&amp;IF(F34=""," ",MID("▁▂▃▄▅▆▇█",MAX(1,MIN(8,ROUND((F34-(MIN(D34:I34)))/MAX(1E-9,(MAX(D34:I34))-(MIN(D34:I34)))*7+1,0))),1))&amp;IF(G34=""," ",MID("▁▂▃▄▅▆▇█",MAX(1,MIN(8,ROUND((G34-(MIN(D34:I34)))/MAX(1E-9,(MAX(D34:I34))-(MIN(D34:I34)))*7+1,0))),1))&amp;IF(H34=""," ",MID("▁▂▃▄▅▆▇█",MAX(1,MIN(8,ROUND((H34-(MIN(D34:I34)))/MAX(1E-9,(MAX(D34:I34))-(MIN(D34:I34)))*7+1,0))),1))&amp;IF(I34=""," ",MID("▁▂▃▄▅▆▇█",MAX(1,MIN(8,ROUND((I34-(MIN(D34:I34)))/MAX(1E-9,(MAX(D34:I34))-(MIN(D34:I34)))*7+1,0))),1))</f>
        <v/>
      </c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Z40" s="26">
        <f>SUMIF(CONTAS!F:F,"Em aberto",CONTAS!C:C)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Z41" s="26">
        <f>SUMIFS(CONTAS!C:C,CONTAS!F:F,"Em aberto",CONTAS!E:E,"&lt;"&amp;TODAY())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Z42" s="26">
        <f>SUMIF(CONTAS!F:F,"Em aberto",CONTAS!J:J)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Z43" s="26">
        <f>COUNTIFS(CONTAS!F:F,"Em aberto",CONTAS!E:E,"&lt;"&amp;TODAY())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Z44" s="26">
        <f>IFERROR(SUMPRODUCT((CONTAS!F6:F156="Em aberto")*CONTAS!C6:C156*CONTAS!G6:G156)/SUMIF(CONTAS!F:F,"Em aberto",CONTAS!C:C),0)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</sheetData>
  <mergeCells count="18">
    <mergeCell ref="D6:E6"/>
    <mergeCell ref="B6:C6"/>
    <mergeCell ref="A2:L2"/>
    <mergeCell ref="D7:E7"/>
    <mergeCell ref="B7:C7"/>
    <mergeCell ref="H6:I6"/>
    <mergeCell ref="J5:K5"/>
    <mergeCell ref="J6:K6"/>
    <mergeCell ref="B5:C5"/>
    <mergeCell ref="H7:I7"/>
    <mergeCell ref="A1:L1"/>
    <mergeCell ref="D5:E5"/>
    <mergeCell ref="F5:G5"/>
    <mergeCell ref="J7:K7"/>
    <mergeCell ref="F6:G6"/>
    <mergeCell ref="H5:I5"/>
    <mergeCell ref="A3:L3"/>
    <mergeCell ref="F7:G7"/>
  </mergeCells>
  <conditionalFormatting sqref="C11:C15">
    <cfRule type="dataBar" priority="1">
      <dataBar>
        <cfvo type="min"/>
        <cfvo type="max"/>
        <color rgb="00E0A94B"/>
      </dataBar>
    </cfRule>
  </conditionalFormatting>
  <conditionalFormatting sqref="G22:G24">
    <cfRule type="cellIs" priority="2" operator="greaterThan" dxfId="0">
      <formula>0</formula>
    </cfRule>
    <cfRule type="cellIs" priority="3" operator="lessThan" dxfId="1">
      <formula>0</formula>
    </cfRule>
  </conditionalFormatting>
  <conditionalFormatting sqref="C32:C34">
    <cfRule type="dataBar" priority="4">
      <dataBar>
        <cfvo type="min"/>
        <cfvo type="max"/>
        <color rgb="00C99C66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16" customWidth="1" min="9" max="9"/>
    <col width="14" customWidth="1" min="10" max="10"/>
    <col width="18" customWidth="1" min="11" max="11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Contas a Receber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Semáforo, aging, risco e ação sugerida — automáticos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3" t="inlineStr">
        <is>
          <t>Cliente</t>
        </is>
      </c>
      <c r="B5" s="13" t="inlineStr">
        <is>
          <t>Descrição</t>
        </is>
      </c>
      <c r="C5" s="13" t="inlineStr">
        <is>
          <t>Valor</t>
        </is>
      </c>
      <c r="D5" s="13" t="inlineStr">
        <is>
          <t>Emissão</t>
        </is>
      </c>
      <c r="E5" s="13" t="inlineStr">
        <is>
          <t>Vencimento</t>
        </is>
      </c>
      <c r="F5" s="13" t="inlineStr">
        <is>
          <t>Situação</t>
        </is>
      </c>
      <c r="G5" s="13" t="inlineStr">
        <is>
          <t>Dias atraso</t>
        </is>
      </c>
      <c r="H5" s="13" t="inlineStr">
        <is>
          <t>Faixa aging</t>
        </is>
      </c>
      <c r="I5" s="13" t="inlineStr">
        <is>
          <t>Prob. recuperação</t>
        </is>
      </c>
      <c r="J5" s="13" t="inlineStr">
        <is>
          <t>Valor esperado</t>
        </is>
      </c>
      <c r="K5" s="13" t="inlineStr">
        <is>
          <t>Ação</t>
        </is>
      </c>
      <c r="L5" s="2" t="n"/>
    </row>
    <row r="6">
      <c r="A6" s="14" t="inlineStr">
        <is>
          <t>Alpha Ltda</t>
        </is>
      </c>
      <c r="B6" s="14" t="inlineStr">
        <is>
          <t>Mensalidade SaaS</t>
        </is>
      </c>
      <c r="C6" s="15" t="n">
        <v>1800</v>
      </c>
      <c r="D6" s="27" t="n">
        <v>46185</v>
      </c>
      <c r="E6" s="27" t="n">
        <v>46213</v>
      </c>
      <c r="F6" s="14" t="inlineStr">
        <is>
          <t>Em aberto</t>
        </is>
      </c>
      <c r="G6" s="14">
        <f>IF(OR(F6="Pago",E6="",E6&gt;=TODAY()),0,TODAY()-E6)</f>
        <v/>
      </c>
      <c r="H6" s="14">
        <f>IF(F6="Pago","Pago",IF(G6=0,"A vencer",IF(G6&lt;=30,"1-30",IF(G6&lt;=60,"31-60",IF(G6&lt;=90,"61-90","90+")))))</f>
        <v/>
      </c>
      <c r="I6" s="28">
        <f>IF(F6="Pago",1,IF(G6=0,0.97,IF(G6&lt;=30,0.9,IF(G6&lt;=60,0.72,IF(G6&lt;=90,0.5,0.25)))))</f>
        <v/>
      </c>
      <c r="J6" s="15">
        <f>IF(F6="Pago",0,IF(C6="",0,C6*I6))</f>
        <v/>
      </c>
      <c r="K6" s="14">
        <f>IF(F6="Pago","—",IF(G6=0,"Lembrete gentil",IF(G6&lt;=30,"Cobrar por telefone",IF(G6&lt;=60,"Negociar parcelamento",IF(G6&lt;=90,"Notificação formal","Escalar / jurídico")))))</f>
        <v/>
      </c>
      <c r="L6" s="2" t="n"/>
    </row>
    <row r="7">
      <c r="A7" s="14" t="inlineStr">
        <is>
          <t>Beta Corp</t>
        </is>
      </c>
      <c r="B7" s="14" t="inlineStr">
        <is>
          <t>Projeto site</t>
        </is>
      </c>
      <c r="C7" s="15" t="n">
        <v>5200</v>
      </c>
      <c r="D7" s="27" t="n">
        <v>46195</v>
      </c>
      <c r="E7" s="27" t="n">
        <v>46221</v>
      </c>
      <c r="F7" s="14" t="inlineStr">
        <is>
          <t>Em aberto</t>
        </is>
      </c>
      <c r="G7" s="14">
        <f>IF(OR(F7="Pago",E7="",E7&gt;=TODAY()),0,TODAY()-E7)</f>
        <v/>
      </c>
      <c r="H7" s="14">
        <f>IF(F7="Pago","Pago",IF(G7=0,"A vencer",IF(G7&lt;=30,"1-30",IF(G7&lt;=60,"31-60",IF(G7&lt;=90,"61-90","90+")))))</f>
        <v/>
      </c>
      <c r="I7" s="28">
        <f>IF(F7="Pago",1,IF(G7=0,0.97,IF(G7&lt;=30,0.9,IF(G7&lt;=60,0.72,IF(G7&lt;=90,0.5,0.25)))))</f>
        <v/>
      </c>
      <c r="J7" s="15">
        <f>IF(F7="Pago",0,IF(C7="",0,C7*I7))</f>
        <v/>
      </c>
      <c r="K7" s="14">
        <f>IF(F7="Pago","—",IF(G7=0,"Lembrete gentil",IF(G7&lt;=30,"Cobrar por telefone",IF(G7&lt;=60,"Negociar parcelamento",IF(G7&lt;=90,"Notificação formal","Escalar / jurídico")))))</f>
        <v/>
      </c>
      <c r="L7" s="2" t="n"/>
    </row>
    <row r="8">
      <c r="A8" s="14" t="inlineStr">
        <is>
          <t>Gama SA</t>
        </is>
      </c>
      <c r="B8" s="14" t="inlineStr">
        <is>
          <t>Consultoria</t>
        </is>
      </c>
      <c r="C8" s="15" t="n">
        <v>2400</v>
      </c>
      <c r="D8" s="27" t="n">
        <v>46205</v>
      </c>
      <c r="E8" s="27" t="n">
        <v>46227</v>
      </c>
      <c r="F8" s="14" t="inlineStr">
        <is>
          <t>Em aberto</t>
        </is>
      </c>
      <c r="G8" s="14">
        <f>IF(OR(F8="Pago",E8="",E8&gt;=TODAY()),0,TODAY()-E8)</f>
        <v/>
      </c>
      <c r="H8" s="14">
        <f>IF(F8="Pago","Pago",IF(G8=0,"A vencer",IF(G8&lt;=30,"1-30",IF(G8&lt;=60,"31-60",IF(G8&lt;=90,"61-90","90+")))))</f>
        <v/>
      </c>
      <c r="I8" s="28">
        <f>IF(F8="Pago",1,IF(G8=0,0.97,IF(G8&lt;=30,0.9,IF(G8&lt;=60,0.72,IF(G8&lt;=90,0.5,0.25)))))</f>
        <v/>
      </c>
      <c r="J8" s="15">
        <f>IF(F8="Pago",0,IF(C8="",0,C8*I8))</f>
        <v/>
      </c>
      <c r="K8" s="14">
        <f>IF(F8="Pago","—",IF(G8=0,"Lembrete gentil",IF(G8&lt;=30,"Cobrar por telefone",IF(G8&lt;=60,"Negociar parcelamento",IF(G8&lt;=90,"Notificação formal","Escalar / jurídico")))))</f>
        <v/>
      </c>
      <c r="L8" s="2" t="n"/>
    </row>
    <row r="9">
      <c r="A9" s="14" t="inlineStr">
        <is>
          <t>Delta ME</t>
        </is>
      </c>
      <c r="B9" s="14" t="inlineStr">
        <is>
          <t>Setup inicial</t>
        </is>
      </c>
      <c r="C9" s="15" t="n">
        <v>980</v>
      </c>
      <c r="D9" s="27" t="n">
        <v>46210</v>
      </c>
      <c r="E9" s="27" t="n">
        <v>46234</v>
      </c>
      <c r="F9" s="14" t="inlineStr">
        <is>
          <t>Em aberto</t>
        </is>
      </c>
      <c r="G9" s="14">
        <f>IF(OR(F9="Pago",E9="",E9&gt;=TODAY()),0,TODAY()-E9)</f>
        <v/>
      </c>
      <c r="H9" s="14">
        <f>IF(F9="Pago","Pago",IF(G9=0,"A vencer",IF(G9&lt;=30,"1-30",IF(G9&lt;=60,"31-60",IF(G9&lt;=90,"61-90","90+")))))</f>
        <v/>
      </c>
      <c r="I9" s="28">
        <f>IF(F9="Pago",1,IF(G9=0,0.97,IF(G9&lt;=30,0.9,IF(G9&lt;=60,0.72,IF(G9&lt;=90,0.5,0.25)))))</f>
        <v/>
      </c>
      <c r="J9" s="15">
        <f>IF(F9="Pago",0,IF(C9="",0,C9*I9))</f>
        <v/>
      </c>
      <c r="K9" s="14">
        <f>IF(F9="Pago","—",IF(G9=0,"Lembrete gentil",IF(G9&lt;=30,"Cobrar por telefone",IF(G9&lt;=60,"Negociar parcelamento",IF(G9&lt;=90,"Notificação formal","Escalar / jurídico")))))</f>
        <v/>
      </c>
      <c r="L9" s="2" t="n"/>
    </row>
    <row r="10">
      <c r="A10" s="14" t="inlineStr">
        <is>
          <t>Épsilon</t>
        </is>
      </c>
      <c r="B10" s="14" t="inlineStr">
        <is>
          <t>Suporte mensal</t>
        </is>
      </c>
      <c r="C10" s="15" t="n">
        <v>650</v>
      </c>
      <c r="D10" s="27" t="n">
        <v>46190</v>
      </c>
      <c r="E10" s="27" t="n">
        <v>46224</v>
      </c>
      <c r="F10" s="14" t="inlineStr">
        <is>
          <t>Pago</t>
        </is>
      </c>
      <c r="G10" s="14">
        <f>IF(OR(F10="Pago",E10="",E10&gt;=TODAY()),0,TODAY()-E10)</f>
        <v/>
      </c>
      <c r="H10" s="14">
        <f>IF(F10="Pago","Pago",IF(G10=0,"A vencer",IF(G10&lt;=30,"1-30",IF(G10&lt;=60,"31-60",IF(G10&lt;=90,"61-90","90+")))))</f>
        <v/>
      </c>
      <c r="I10" s="28">
        <f>IF(F10="Pago",1,IF(G10=0,0.97,IF(G10&lt;=30,0.9,IF(G10&lt;=60,0.72,IF(G10&lt;=90,0.5,0.25)))))</f>
        <v/>
      </c>
      <c r="J10" s="15">
        <f>IF(F10="Pago",0,IF(C10="",0,C10*I10))</f>
        <v/>
      </c>
      <c r="K10" s="14">
        <f>IF(F10="Pago","—",IF(G10=0,"Lembrete gentil",IF(G10&lt;=30,"Cobrar por telefone",IF(G10&lt;=60,"Negociar parcelamento",IF(G10&lt;=90,"Notificação formal","Escalar / jurídico")))))</f>
        <v/>
      </c>
      <c r="L10" s="2" t="n"/>
    </row>
    <row r="11">
      <c r="A11" s="14" t="inlineStr">
        <is>
          <t>Zeta Group</t>
        </is>
      </c>
      <c r="B11" s="14" t="inlineStr">
        <is>
          <t>Retainer marketing</t>
        </is>
      </c>
      <c r="C11" s="15" t="n">
        <v>3600</v>
      </c>
      <c r="D11" s="27" t="n">
        <v>46155</v>
      </c>
      <c r="E11" s="27" t="n">
        <v>46177</v>
      </c>
      <c r="F11" s="14" t="inlineStr">
        <is>
          <t>Em aberto</t>
        </is>
      </c>
      <c r="G11" s="14">
        <f>IF(OR(F11="Pago",E11="",E11&gt;=TODAY()),0,TODAY()-E11)</f>
        <v/>
      </c>
      <c r="H11" s="14">
        <f>IF(F11="Pago","Pago",IF(G11=0,"A vencer",IF(G11&lt;=30,"1-30",IF(G11&lt;=60,"31-60",IF(G11&lt;=90,"61-90","90+")))))</f>
        <v/>
      </c>
      <c r="I11" s="28">
        <f>IF(F11="Pago",1,IF(G11=0,0.97,IF(G11&lt;=30,0.9,IF(G11&lt;=60,0.72,IF(G11&lt;=90,0.5,0.25)))))</f>
        <v/>
      </c>
      <c r="J11" s="15">
        <f>IF(F11="Pago",0,IF(C11="",0,C11*I11))</f>
        <v/>
      </c>
      <c r="K11" s="14">
        <f>IF(F11="Pago","—",IF(G11=0,"Lembrete gentil",IF(G11&lt;=30,"Cobrar por telefone",IF(G11&lt;=60,"Negociar parcelamento",IF(G11&lt;=90,"Notificação formal","Escalar / jurídico")))))</f>
        <v/>
      </c>
      <c r="L11" s="2" t="n"/>
    </row>
    <row r="12">
      <c r="A12" s="14" t="inlineStr">
        <is>
          <t>Nova Tech</t>
        </is>
      </c>
      <c r="B12" s="14" t="inlineStr">
        <is>
          <t>Implementação</t>
        </is>
      </c>
      <c r="C12" s="15" t="n">
        <v>7800</v>
      </c>
      <c r="D12" s="27" t="n">
        <v>46175</v>
      </c>
      <c r="E12" s="27" t="n">
        <v>46200</v>
      </c>
      <c r="F12" s="14" t="inlineStr">
        <is>
          <t>Em aberto</t>
        </is>
      </c>
      <c r="G12" s="14">
        <f>IF(OR(F12="Pago",E12="",E12&gt;=TODAY()),0,TODAY()-E12)</f>
        <v/>
      </c>
      <c r="H12" s="14">
        <f>IF(F12="Pago","Pago",IF(G12=0,"A vencer",IF(G12&lt;=30,"1-30",IF(G12&lt;=60,"31-60",IF(G12&lt;=90,"61-90","90+")))))</f>
        <v/>
      </c>
      <c r="I12" s="28">
        <f>IF(F12="Pago",1,IF(G12=0,0.97,IF(G12&lt;=30,0.9,IF(G12&lt;=60,0.72,IF(G12&lt;=90,0.5,0.25)))))</f>
        <v/>
      </c>
      <c r="J12" s="15">
        <f>IF(F12="Pago",0,IF(C12="",0,C12*I12))</f>
        <v/>
      </c>
      <c r="K12" s="14">
        <f>IF(F12="Pago","—",IF(G12=0,"Lembrete gentil",IF(G12&lt;=30,"Cobrar por telefone",IF(G12&lt;=60,"Negociar parcelamento",IF(G12&lt;=90,"Notificação formal","Escalar / jurídico")))))</f>
        <v/>
      </c>
      <c r="L12" s="2" t="n"/>
    </row>
    <row r="13">
      <c r="A13" s="14" t="inlineStr">
        <is>
          <t>Orion</t>
        </is>
      </c>
      <c r="B13" s="14" t="inlineStr">
        <is>
          <t>Licença anual</t>
        </is>
      </c>
      <c r="C13" s="15" t="n">
        <v>4200</v>
      </c>
      <c r="D13" s="27" t="n">
        <v>46130</v>
      </c>
      <c r="E13" s="27" t="n">
        <v>46130</v>
      </c>
      <c r="F13" s="14" t="inlineStr">
        <is>
          <t>Em aberto</t>
        </is>
      </c>
      <c r="G13" s="14">
        <f>IF(OR(F13="Pago",E13="",E13&gt;=TODAY()),0,TODAY()-E13)</f>
        <v/>
      </c>
      <c r="H13" s="14">
        <f>IF(F13="Pago","Pago",IF(G13=0,"A vencer",IF(G13&lt;=30,"1-30",IF(G13&lt;=60,"31-60",IF(G13&lt;=90,"61-90","90+")))))</f>
        <v/>
      </c>
      <c r="I13" s="28">
        <f>IF(F13="Pago",1,IF(G13=0,0.97,IF(G13&lt;=30,0.9,IF(G13&lt;=60,0.72,IF(G13&lt;=90,0.5,0.25)))))</f>
        <v/>
      </c>
      <c r="J13" s="15">
        <f>IF(F13="Pago",0,IF(C13="",0,C13*I13))</f>
        <v/>
      </c>
      <c r="K13" s="14">
        <f>IF(F13="Pago","—",IF(G13=0,"Lembrete gentil",IF(G13&lt;=30,"Cobrar por telefone",IF(G13&lt;=60,"Negociar parcelamento",IF(G13&lt;=90,"Notificação formal","Escalar / jurídico")))))</f>
        <v/>
      </c>
      <c r="L13" s="2" t="n"/>
    </row>
    <row r="14">
      <c r="A14" s="14" t="inlineStr">
        <is>
          <t>Vega</t>
        </is>
      </c>
      <c r="B14" s="14" t="inlineStr">
        <is>
          <t>Treinamento</t>
        </is>
      </c>
      <c r="C14" s="15" t="n">
        <v>1500</v>
      </c>
      <c r="D14" s="27" t="n">
        <v>46215</v>
      </c>
      <c r="E14" s="27" t="n">
        <v>46245</v>
      </c>
      <c r="F14" s="14" t="inlineStr">
        <is>
          <t>Em aberto</t>
        </is>
      </c>
      <c r="G14" s="14">
        <f>IF(OR(F14="Pago",E14="",E14&gt;=TODAY()),0,TODAY()-E14)</f>
        <v/>
      </c>
      <c r="H14" s="14">
        <f>IF(F14="Pago","Pago",IF(G14=0,"A vencer",IF(G14&lt;=30,"1-30",IF(G14&lt;=60,"31-60",IF(G14&lt;=90,"61-90","90+")))))</f>
        <v/>
      </c>
      <c r="I14" s="28">
        <f>IF(F14="Pago",1,IF(G14=0,0.97,IF(G14&lt;=30,0.9,IF(G14&lt;=60,0.72,IF(G14&lt;=90,0.5,0.25)))))</f>
        <v/>
      </c>
      <c r="J14" s="15">
        <f>IF(F14="Pago",0,IF(C14="",0,C14*I14))</f>
        <v/>
      </c>
      <c r="K14" s="14">
        <f>IF(F14="Pago","—",IF(G14=0,"Lembrete gentil",IF(G14&lt;=30,"Cobrar por telefone",IF(G14&lt;=60,"Negociar parcelamento",IF(G14&lt;=90,"Notificação formal","Escalar / jurídico")))))</f>
        <v/>
      </c>
      <c r="L14" s="2" t="n"/>
    </row>
    <row r="15">
      <c r="A15" s="14" t="n"/>
      <c r="B15" s="14" t="n"/>
      <c r="C15" s="15" t="n"/>
      <c r="D15" s="27" t="n"/>
      <c r="E15" s="27" t="n"/>
      <c r="F15" s="14" t="n"/>
      <c r="G15" s="14">
        <f>IF(OR(F15="Pago",E15="",E15&gt;=TODAY()),0,TODAY()-E15)</f>
        <v/>
      </c>
      <c r="H15" s="14">
        <f>IF(F15="Pago","Pago",IF(G15=0,"A vencer",IF(G15&lt;=30,"1-30",IF(G15&lt;=60,"31-60",IF(G15&lt;=90,"61-90","90+")))))</f>
        <v/>
      </c>
      <c r="I15" s="28">
        <f>IF(F15="Pago",1,IF(G15=0,0.97,IF(G15&lt;=30,0.9,IF(G15&lt;=60,0.72,IF(G15&lt;=90,0.5,0.25)))))</f>
        <v/>
      </c>
      <c r="J15" s="15">
        <f>IF(F15="Pago",0,IF(C15="",0,C15*I15))</f>
        <v/>
      </c>
      <c r="K15" s="14">
        <f>IF(F15="Pago","—",IF(G15=0,"Lembrete gentil",IF(G15&lt;=30,"Cobrar por telefone",IF(G15&lt;=60,"Negociar parcelamento",IF(G15&lt;=90,"Notificação formal","Escalar / jurídico")))))</f>
        <v/>
      </c>
      <c r="L15" s="2" t="n"/>
    </row>
    <row r="16">
      <c r="A16" s="14" t="n"/>
      <c r="B16" s="14" t="n"/>
      <c r="C16" s="15" t="n"/>
      <c r="D16" s="27" t="n"/>
      <c r="E16" s="27" t="n"/>
      <c r="F16" s="14" t="n"/>
      <c r="G16" s="14">
        <f>IF(OR(F16="Pago",E16="",E16&gt;=TODAY()),0,TODAY()-E16)</f>
        <v/>
      </c>
      <c r="H16" s="14">
        <f>IF(F16="Pago","Pago",IF(G16=0,"A vencer",IF(G16&lt;=30,"1-30",IF(G16&lt;=60,"31-60",IF(G16&lt;=90,"61-90","90+")))))</f>
        <v/>
      </c>
      <c r="I16" s="28">
        <f>IF(F16="Pago",1,IF(G16=0,0.97,IF(G16&lt;=30,0.9,IF(G16&lt;=60,0.72,IF(G16&lt;=90,0.5,0.25)))))</f>
        <v/>
      </c>
      <c r="J16" s="15">
        <f>IF(F16="Pago",0,IF(C16="",0,C16*I16))</f>
        <v/>
      </c>
      <c r="K16" s="14">
        <f>IF(F16="Pago","—",IF(G16=0,"Lembrete gentil",IF(G16&lt;=30,"Cobrar por telefone",IF(G16&lt;=60,"Negociar parcelamento",IF(G16&lt;=90,"Notificação formal","Escalar / jurídico")))))</f>
        <v/>
      </c>
      <c r="L16" s="2" t="n"/>
    </row>
    <row r="17">
      <c r="A17" s="14" t="n"/>
      <c r="B17" s="14" t="n"/>
      <c r="C17" s="15" t="n"/>
      <c r="D17" s="27" t="n"/>
      <c r="E17" s="27" t="n"/>
      <c r="F17" s="14" t="n"/>
      <c r="G17" s="14">
        <f>IF(OR(F17="Pago",E17="",E17&gt;=TODAY()),0,TODAY()-E17)</f>
        <v/>
      </c>
      <c r="H17" s="14">
        <f>IF(F17="Pago","Pago",IF(G17=0,"A vencer",IF(G17&lt;=30,"1-30",IF(G17&lt;=60,"31-60",IF(G17&lt;=90,"61-90","90+")))))</f>
        <v/>
      </c>
      <c r="I17" s="28">
        <f>IF(F17="Pago",1,IF(G17=0,0.97,IF(G17&lt;=30,0.9,IF(G17&lt;=60,0.72,IF(G17&lt;=90,0.5,0.25)))))</f>
        <v/>
      </c>
      <c r="J17" s="15">
        <f>IF(F17="Pago",0,IF(C17="",0,C17*I17))</f>
        <v/>
      </c>
      <c r="K17" s="14">
        <f>IF(F17="Pago","—",IF(G17=0,"Lembrete gentil",IF(G17&lt;=30,"Cobrar por telefone",IF(G17&lt;=60,"Negociar parcelamento",IF(G17&lt;=90,"Notificação formal","Escalar / jurídico")))))</f>
        <v/>
      </c>
      <c r="L17" s="2" t="n"/>
    </row>
    <row r="18">
      <c r="A18" s="14" t="n"/>
      <c r="B18" s="14" t="n"/>
      <c r="C18" s="15" t="n"/>
      <c r="D18" s="27" t="n"/>
      <c r="E18" s="27" t="n"/>
      <c r="F18" s="14" t="n"/>
      <c r="G18" s="14">
        <f>IF(OR(F18="Pago",E18="",E18&gt;=TODAY()),0,TODAY()-E18)</f>
        <v/>
      </c>
      <c r="H18" s="14">
        <f>IF(F18="Pago","Pago",IF(G18=0,"A vencer",IF(G18&lt;=30,"1-30",IF(G18&lt;=60,"31-60",IF(G18&lt;=90,"61-90","90+")))))</f>
        <v/>
      </c>
      <c r="I18" s="28">
        <f>IF(F18="Pago",1,IF(G18=0,0.97,IF(G18&lt;=30,0.9,IF(G18&lt;=60,0.72,IF(G18&lt;=90,0.5,0.25)))))</f>
        <v/>
      </c>
      <c r="J18" s="15">
        <f>IF(F18="Pago",0,IF(C18="",0,C18*I18))</f>
        <v/>
      </c>
      <c r="K18" s="14">
        <f>IF(F18="Pago","—",IF(G18=0,"Lembrete gentil",IF(G18&lt;=30,"Cobrar por telefone",IF(G18&lt;=60,"Negociar parcelamento",IF(G18&lt;=90,"Notificação formal","Escalar / jurídico")))))</f>
        <v/>
      </c>
      <c r="L18" s="2" t="n"/>
    </row>
    <row r="19">
      <c r="A19" s="14" t="n"/>
      <c r="B19" s="14" t="n"/>
      <c r="C19" s="15" t="n"/>
      <c r="D19" s="27" t="n"/>
      <c r="E19" s="27" t="n"/>
      <c r="F19" s="14" t="n"/>
      <c r="G19" s="14">
        <f>IF(OR(F19="Pago",E19="",E19&gt;=TODAY()),0,TODAY()-E19)</f>
        <v/>
      </c>
      <c r="H19" s="14">
        <f>IF(F19="Pago","Pago",IF(G19=0,"A vencer",IF(G19&lt;=30,"1-30",IF(G19&lt;=60,"31-60",IF(G19&lt;=90,"61-90","90+")))))</f>
        <v/>
      </c>
      <c r="I19" s="28">
        <f>IF(F19="Pago",1,IF(G19=0,0.97,IF(G19&lt;=30,0.9,IF(G19&lt;=60,0.72,IF(G19&lt;=90,0.5,0.25)))))</f>
        <v/>
      </c>
      <c r="J19" s="15">
        <f>IF(F19="Pago",0,IF(C19="",0,C19*I19))</f>
        <v/>
      </c>
      <c r="K19" s="14">
        <f>IF(F19="Pago","—",IF(G19=0,"Lembrete gentil",IF(G19&lt;=30,"Cobrar por telefone",IF(G19&lt;=60,"Negociar parcelamento",IF(G19&lt;=90,"Notificação formal","Escalar / jurídico")))))</f>
        <v/>
      </c>
      <c r="L19" s="2" t="n"/>
    </row>
    <row r="20">
      <c r="A20" s="14" t="n"/>
      <c r="B20" s="14" t="n"/>
      <c r="C20" s="15" t="n"/>
      <c r="D20" s="27" t="n"/>
      <c r="E20" s="27" t="n"/>
      <c r="F20" s="14" t="n"/>
      <c r="G20" s="14">
        <f>IF(OR(F20="Pago",E20="",E20&gt;=TODAY()),0,TODAY()-E20)</f>
        <v/>
      </c>
      <c r="H20" s="14">
        <f>IF(F20="Pago","Pago",IF(G20=0,"A vencer",IF(G20&lt;=30,"1-30",IF(G20&lt;=60,"31-60",IF(G20&lt;=90,"61-90","90+")))))</f>
        <v/>
      </c>
      <c r="I20" s="28">
        <f>IF(F20="Pago",1,IF(G20=0,0.97,IF(G20&lt;=30,0.9,IF(G20&lt;=60,0.72,IF(G20&lt;=90,0.5,0.25)))))</f>
        <v/>
      </c>
      <c r="J20" s="15">
        <f>IF(F20="Pago",0,IF(C20="",0,C20*I20))</f>
        <v/>
      </c>
      <c r="K20" s="14">
        <f>IF(F20="Pago","—",IF(G20=0,"Lembrete gentil",IF(G20&lt;=30,"Cobrar por telefone",IF(G20&lt;=60,"Negociar parcelamento",IF(G20&lt;=90,"Notificação formal","Escalar / jurídico")))))</f>
        <v/>
      </c>
      <c r="L20" s="2" t="n"/>
    </row>
    <row r="21">
      <c r="A21" s="14" t="n"/>
      <c r="B21" s="14" t="n"/>
      <c r="C21" s="15" t="n"/>
      <c r="D21" s="27" t="n"/>
      <c r="E21" s="27" t="n"/>
      <c r="F21" s="14" t="n"/>
      <c r="G21" s="14">
        <f>IF(OR(F21="Pago",E21="",E21&gt;=TODAY()),0,TODAY()-E21)</f>
        <v/>
      </c>
      <c r="H21" s="14">
        <f>IF(F21="Pago","Pago",IF(G21=0,"A vencer",IF(G21&lt;=30,"1-30",IF(G21&lt;=60,"31-60",IF(G21&lt;=90,"61-90","90+")))))</f>
        <v/>
      </c>
      <c r="I21" s="28">
        <f>IF(F21="Pago",1,IF(G21=0,0.97,IF(G21&lt;=30,0.9,IF(G21&lt;=60,0.72,IF(G21&lt;=90,0.5,0.25)))))</f>
        <v/>
      </c>
      <c r="J21" s="15">
        <f>IF(F21="Pago",0,IF(C21="",0,C21*I21))</f>
        <v/>
      </c>
      <c r="K21" s="14">
        <f>IF(F21="Pago","—",IF(G21=0,"Lembrete gentil",IF(G21&lt;=30,"Cobrar por telefone",IF(G21&lt;=60,"Negociar parcelamento",IF(G21&lt;=90,"Notificação formal","Escalar / jurídico")))))</f>
        <v/>
      </c>
      <c r="L21" s="2" t="n"/>
    </row>
    <row r="22">
      <c r="A22" s="14" t="n"/>
      <c r="B22" s="14" t="n"/>
      <c r="C22" s="15" t="n"/>
      <c r="D22" s="27" t="n"/>
      <c r="E22" s="27" t="n"/>
      <c r="F22" s="14" t="n"/>
      <c r="G22" s="14">
        <f>IF(OR(F22="Pago",E22="",E22&gt;=TODAY()),0,TODAY()-E22)</f>
        <v/>
      </c>
      <c r="H22" s="14">
        <f>IF(F22="Pago","Pago",IF(G22=0,"A vencer",IF(G22&lt;=30,"1-30",IF(G22&lt;=60,"31-60",IF(G22&lt;=90,"61-90","90+")))))</f>
        <v/>
      </c>
      <c r="I22" s="28">
        <f>IF(F22="Pago",1,IF(G22=0,0.97,IF(G22&lt;=30,0.9,IF(G22&lt;=60,0.72,IF(G22&lt;=90,0.5,0.25)))))</f>
        <v/>
      </c>
      <c r="J22" s="15">
        <f>IF(F22="Pago",0,IF(C22="",0,C22*I22))</f>
        <v/>
      </c>
      <c r="K22" s="14">
        <f>IF(F22="Pago","—",IF(G22=0,"Lembrete gentil",IF(G22&lt;=30,"Cobrar por telefone",IF(G22&lt;=60,"Negociar parcelamento",IF(G22&lt;=90,"Notificação formal","Escalar / jurídico")))))</f>
        <v/>
      </c>
      <c r="L22" s="2" t="n"/>
    </row>
    <row r="23">
      <c r="A23" s="14" t="n"/>
      <c r="B23" s="14" t="n"/>
      <c r="C23" s="15" t="n"/>
      <c r="D23" s="27" t="n"/>
      <c r="E23" s="27" t="n"/>
      <c r="F23" s="14" t="n"/>
      <c r="G23" s="14">
        <f>IF(OR(F23="Pago",E23="",E23&gt;=TODAY()),0,TODAY()-E23)</f>
        <v/>
      </c>
      <c r="H23" s="14">
        <f>IF(F23="Pago","Pago",IF(G23=0,"A vencer",IF(G23&lt;=30,"1-30",IF(G23&lt;=60,"31-60",IF(G23&lt;=90,"61-90","90+")))))</f>
        <v/>
      </c>
      <c r="I23" s="28">
        <f>IF(F23="Pago",1,IF(G23=0,0.97,IF(G23&lt;=30,0.9,IF(G23&lt;=60,0.72,IF(G23&lt;=90,0.5,0.25)))))</f>
        <v/>
      </c>
      <c r="J23" s="15">
        <f>IF(F23="Pago",0,IF(C23="",0,C23*I23))</f>
        <v/>
      </c>
      <c r="K23" s="14">
        <f>IF(F23="Pago","—",IF(G23=0,"Lembrete gentil",IF(G23&lt;=30,"Cobrar por telefone",IF(G23&lt;=60,"Negociar parcelamento",IF(G23&lt;=90,"Notificação formal","Escalar / jurídico")))))</f>
        <v/>
      </c>
      <c r="L23" s="2" t="n"/>
    </row>
    <row r="24">
      <c r="A24" s="14" t="n"/>
      <c r="B24" s="14" t="n"/>
      <c r="C24" s="15" t="n"/>
      <c r="D24" s="27" t="n"/>
      <c r="E24" s="27" t="n"/>
      <c r="F24" s="14" t="n"/>
      <c r="G24" s="14">
        <f>IF(OR(F24="Pago",E24="",E24&gt;=TODAY()),0,TODAY()-E24)</f>
        <v/>
      </c>
      <c r="H24" s="14">
        <f>IF(F24="Pago","Pago",IF(G24=0,"A vencer",IF(G24&lt;=30,"1-30",IF(G24&lt;=60,"31-60",IF(G24&lt;=90,"61-90","90+")))))</f>
        <v/>
      </c>
      <c r="I24" s="28">
        <f>IF(F24="Pago",1,IF(G24=0,0.97,IF(G24&lt;=30,0.9,IF(G24&lt;=60,0.72,IF(G24&lt;=90,0.5,0.25)))))</f>
        <v/>
      </c>
      <c r="J24" s="15">
        <f>IF(F24="Pago",0,IF(C24="",0,C24*I24))</f>
        <v/>
      </c>
      <c r="K24" s="14">
        <f>IF(F24="Pago","—",IF(G24=0,"Lembrete gentil",IF(G24&lt;=30,"Cobrar por telefone",IF(G24&lt;=60,"Negociar parcelamento",IF(G24&lt;=90,"Notificação formal","Escalar / jurídico")))))</f>
        <v/>
      </c>
      <c r="L24" s="2" t="n"/>
    </row>
    <row r="25">
      <c r="A25" s="14" t="n"/>
      <c r="B25" s="14" t="n"/>
      <c r="C25" s="15" t="n"/>
      <c r="D25" s="27" t="n"/>
      <c r="E25" s="27" t="n"/>
      <c r="F25" s="14" t="n"/>
      <c r="G25" s="14">
        <f>IF(OR(F25="Pago",E25="",E25&gt;=TODAY()),0,TODAY()-E25)</f>
        <v/>
      </c>
      <c r="H25" s="14">
        <f>IF(F25="Pago","Pago",IF(G25=0,"A vencer",IF(G25&lt;=30,"1-30",IF(G25&lt;=60,"31-60",IF(G25&lt;=90,"61-90","90+")))))</f>
        <v/>
      </c>
      <c r="I25" s="28">
        <f>IF(F25="Pago",1,IF(G25=0,0.97,IF(G25&lt;=30,0.9,IF(G25&lt;=60,0.72,IF(G25&lt;=90,0.5,0.25)))))</f>
        <v/>
      </c>
      <c r="J25" s="15">
        <f>IF(F25="Pago",0,IF(C25="",0,C25*I25))</f>
        <v/>
      </c>
      <c r="K25" s="14">
        <f>IF(F25="Pago","—",IF(G25=0,"Lembrete gentil",IF(G25&lt;=30,"Cobrar por telefone",IF(G25&lt;=60,"Negociar parcelamento",IF(G25&lt;=90,"Notificação formal","Escalar / jurídico")))))</f>
        <v/>
      </c>
      <c r="L25" s="2" t="n"/>
    </row>
    <row r="26">
      <c r="A26" s="14" t="n"/>
      <c r="B26" s="14" t="n"/>
      <c r="C26" s="15" t="n"/>
      <c r="D26" s="27" t="n"/>
      <c r="E26" s="27" t="n"/>
      <c r="F26" s="14" t="n"/>
      <c r="G26" s="14">
        <f>IF(OR(F26="Pago",E26="",E26&gt;=TODAY()),0,TODAY()-E26)</f>
        <v/>
      </c>
      <c r="H26" s="14">
        <f>IF(F26="Pago","Pago",IF(G26=0,"A vencer",IF(G26&lt;=30,"1-30",IF(G26&lt;=60,"31-60",IF(G26&lt;=90,"61-90","90+")))))</f>
        <v/>
      </c>
      <c r="I26" s="28">
        <f>IF(F26="Pago",1,IF(G26=0,0.97,IF(G26&lt;=30,0.9,IF(G26&lt;=60,0.72,IF(G26&lt;=90,0.5,0.25)))))</f>
        <v/>
      </c>
      <c r="J26" s="15">
        <f>IF(F26="Pago",0,IF(C26="",0,C26*I26))</f>
        <v/>
      </c>
      <c r="K26" s="14">
        <f>IF(F26="Pago","—",IF(G26=0,"Lembrete gentil",IF(G26&lt;=30,"Cobrar por telefone",IF(G26&lt;=60,"Negociar parcelamento",IF(G26&lt;=90,"Notificação formal","Escalar / jurídico")))))</f>
        <v/>
      </c>
      <c r="L26" s="2" t="n"/>
    </row>
    <row r="27">
      <c r="A27" s="14" t="n"/>
      <c r="B27" s="14" t="n"/>
      <c r="C27" s="15" t="n"/>
      <c r="D27" s="27" t="n"/>
      <c r="E27" s="27" t="n"/>
      <c r="F27" s="14" t="n"/>
      <c r="G27" s="14">
        <f>IF(OR(F27="Pago",E27="",E27&gt;=TODAY()),0,TODAY()-E27)</f>
        <v/>
      </c>
      <c r="H27" s="14">
        <f>IF(F27="Pago","Pago",IF(G27=0,"A vencer",IF(G27&lt;=30,"1-30",IF(G27&lt;=60,"31-60",IF(G27&lt;=90,"61-90","90+")))))</f>
        <v/>
      </c>
      <c r="I27" s="28">
        <f>IF(F27="Pago",1,IF(G27=0,0.97,IF(G27&lt;=30,0.9,IF(G27&lt;=60,0.72,IF(G27&lt;=90,0.5,0.25)))))</f>
        <v/>
      </c>
      <c r="J27" s="15">
        <f>IF(F27="Pago",0,IF(C27="",0,C27*I27))</f>
        <v/>
      </c>
      <c r="K27" s="14">
        <f>IF(F27="Pago","—",IF(G27=0,"Lembrete gentil",IF(G27&lt;=30,"Cobrar por telefone",IF(G27&lt;=60,"Negociar parcelamento",IF(G27&lt;=90,"Notificação formal","Escalar / jurídico")))))</f>
        <v/>
      </c>
      <c r="L27" s="2" t="n"/>
    </row>
    <row r="28">
      <c r="A28" s="14" t="n"/>
      <c r="B28" s="14" t="n"/>
      <c r="C28" s="15" t="n"/>
      <c r="D28" s="27" t="n"/>
      <c r="E28" s="27" t="n"/>
      <c r="F28" s="14" t="n"/>
      <c r="G28" s="14">
        <f>IF(OR(F28="Pago",E28="",E28&gt;=TODAY()),0,TODAY()-E28)</f>
        <v/>
      </c>
      <c r="H28" s="14">
        <f>IF(F28="Pago","Pago",IF(G28=0,"A vencer",IF(G28&lt;=30,"1-30",IF(G28&lt;=60,"31-60",IF(G28&lt;=90,"61-90","90+")))))</f>
        <v/>
      </c>
      <c r="I28" s="28">
        <f>IF(F28="Pago",1,IF(G28=0,0.97,IF(G28&lt;=30,0.9,IF(G28&lt;=60,0.72,IF(G28&lt;=90,0.5,0.25)))))</f>
        <v/>
      </c>
      <c r="J28" s="15">
        <f>IF(F28="Pago",0,IF(C28="",0,C28*I28))</f>
        <v/>
      </c>
      <c r="K28" s="14">
        <f>IF(F28="Pago","—",IF(G28=0,"Lembrete gentil",IF(G28&lt;=30,"Cobrar por telefone",IF(G28&lt;=60,"Negociar parcelamento",IF(G28&lt;=90,"Notificação formal","Escalar / jurídico")))))</f>
        <v/>
      </c>
      <c r="L28" s="2" t="n"/>
    </row>
    <row r="29">
      <c r="A29" s="14" t="n"/>
      <c r="B29" s="14" t="n"/>
      <c r="C29" s="15" t="n"/>
      <c r="D29" s="27" t="n"/>
      <c r="E29" s="27" t="n"/>
      <c r="F29" s="14" t="n"/>
      <c r="G29" s="14">
        <f>IF(OR(F29="Pago",E29="",E29&gt;=TODAY()),0,TODAY()-E29)</f>
        <v/>
      </c>
      <c r="H29" s="14">
        <f>IF(F29="Pago","Pago",IF(G29=0,"A vencer",IF(G29&lt;=30,"1-30",IF(G29&lt;=60,"31-60",IF(G29&lt;=90,"61-90","90+")))))</f>
        <v/>
      </c>
      <c r="I29" s="28">
        <f>IF(F29="Pago",1,IF(G29=0,0.97,IF(G29&lt;=30,0.9,IF(G29&lt;=60,0.72,IF(G29&lt;=90,0.5,0.25)))))</f>
        <v/>
      </c>
      <c r="J29" s="15">
        <f>IF(F29="Pago",0,IF(C29="",0,C29*I29))</f>
        <v/>
      </c>
      <c r="K29" s="14">
        <f>IF(F29="Pago","—",IF(G29=0,"Lembrete gentil",IF(G29&lt;=30,"Cobrar por telefone",IF(G29&lt;=60,"Negociar parcelamento",IF(G29&lt;=90,"Notificação formal","Escalar / jurídico")))))</f>
        <v/>
      </c>
      <c r="L29" s="2" t="n"/>
    </row>
    <row r="30">
      <c r="A30" s="14" t="n"/>
      <c r="B30" s="14" t="n"/>
      <c r="C30" s="15" t="n"/>
      <c r="D30" s="27" t="n"/>
      <c r="E30" s="27" t="n"/>
      <c r="F30" s="14" t="n"/>
      <c r="G30" s="14">
        <f>IF(OR(F30="Pago",E30="",E30&gt;=TODAY()),0,TODAY()-E30)</f>
        <v/>
      </c>
      <c r="H30" s="14">
        <f>IF(F30="Pago","Pago",IF(G30=0,"A vencer",IF(G30&lt;=30,"1-30",IF(G30&lt;=60,"31-60",IF(G30&lt;=90,"61-90","90+")))))</f>
        <v/>
      </c>
      <c r="I30" s="28">
        <f>IF(F30="Pago",1,IF(G30=0,0.97,IF(G30&lt;=30,0.9,IF(G30&lt;=60,0.72,IF(G30&lt;=90,0.5,0.25)))))</f>
        <v/>
      </c>
      <c r="J30" s="15">
        <f>IF(F30="Pago",0,IF(C30="",0,C30*I30))</f>
        <v/>
      </c>
      <c r="K30" s="14">
        <f>IF(F30="Pago","—",IF(G30=0,"Lembrete gentil",IF(G30&lt;=30,"Cobrar por telefone",IF(G30&lt;=60,"Negociar parcelamento",IF(G30&lt;=90,"Notificação formal","Escalar / jurídico")))))</f>
        <v/>
      </c>
      <c r="L30" s="2" t="n"/>
    </row>
    <row r="31">
      <c r="A31" s="14" t="n"/>
      <c r="B31" s="14" t="n"/>
      <c r="C31" s="15" t="n"/>
      <c r="D31" s="27" t="n"/>
      <c r="E31" s="27" t="n"/>
      <c r="F31" s="14" t="n"/>
      <c r="G31" s="14">
        <f>IF(OR(F31="Pago",E31="",E31&gt;=TODAY()),0,TODAY()-E31)</f>
        <v/>
      </c>
      <c r="H31" s="14">
        <f>IF(F31="Pago","Pago",IF(G31=0,"A vencer",IF(G31&lt;=30,"1-30",IF(G31&lt;=60,"31-60",IF(G31&lt;=90,"61-90","90+")))))</f>
        <v/>
      </c>
      <c r="I31" s="28">
        <f>IF(F31="Pago",1,IF(G31=0,0.97,IF(G31&lt;=30,0.9,IF(G31&lt;=60,0.72,IF(G31&lt;=90,0.5,0.25)))))</f>
        <v/>
      </c>
      <c r="J31" s="15">
        <f>IF(F31="Pago",0,IF(C31="",0,C31*I31))</f>
        <v/>
      </c>
      <c r="K31" s="14">
        <f>IF(F31="Pago","—",IF(G31=0,"Lembrete gentil",IF(G31&lt;=30,"Cobrar por telefone",IF(G31&lt;=60,"Negociar parcelamento",IF(G31&lt;=90,"Notificação formal","Escalar / jurídico")))))</f>
        <v/>
      </c>
      <c r="L31" s="2" t="n"/>
    </row>
    <row r="32">
      <c r="A32" s="14" t="n"/>
      <c r="B32" s="14" t="n"/>
      <c r="C32" s="15" t="n"/>
      <c r="D32" s="27" t="n"/>
      <c r="E32" s="27" t="n"/>
      <c r="F32" s="14" t="n"/>
      <c r="G32" s="14">
        <f>IF(OR(F32="Pago",E32="",E32&gt;=TODAY()),0,TODAY()-E32)</f>
        <v/>
      </c>
      <c r="H32" s="14">
        <f>IF(F32="Pago","Pago",IF(G32=0,"A vencer",IF(G32&lt;=30,"1-30",IF(G32&lt;=60,"31-60",IF(G32&lt;=90,"61-90","90+")))))</f>
        <v/>
      </c>
      <c r="I32" s="28">
        <f>IF(F32="Pago",1,IF(G32=0,0.97,IF(G32&lt;=30,0.9,IF(G32&lt;=60,0.72,IF(G32&lt;=90,0.5,0.25)))))</f>
        <v/>
      </c>
      <c r="J32" s="15">
        <f>IF(F32="Pago",0,IF(C32="",0,C32*I32))</f>
        <v/>
      </c>
      <c r="K32" s="14">
        <f>IF(F32="Pago","—",IF(G32=0,"Lembrete gentil",IF(G32&lt;=30,"Cobrar por telefone",IF(G32&lt;=60,"Negociar parcelamento",IF(G32&lt;=90,"Notificação formal","Escalar / jurídico")))))</f>
        <v/>
      </c>
      <c r="L32" s="2" t="n"/>
    </row>
    <row r="33">
      <c r="A33" s="14" t="n"/>
      <c r="B33" s="14" t="n"/>
      <c r="C33" s="15" t="n"/>
      <c r="D33" s="27" t="n"/>
      <c r="E33" s="27" t="n"/>
      <c r="F33" s="14" t="n"/>
      <c r="G33" s="14">
        <f>IF(OR(F33="Pago",E33="",E33&gt;=TODAY()),0,TODAY()-E33)</f>
        <v/>
      </c>
      <c r="H33" s="14">
        <f>IF(F33="Pago","Pago",IF(G33=0,"A vencer",IF(G33&lt;=30,"1-30",IF(G33&lt;=60,"31-60",IF(G33&lt;=90,"61-90","90+")))))</f>
        <v/>
      </c>
      <c r="I33" s="28">
        <f>IF(F33="Pago",1,IF(G33=0,0.97,IF(G33&lt;=30,0.9,IF(G33&lt;=60,0.72,IF(G33&lt;=90,0.5,0.25)))))</f>
        <v/>
      </c>
      <c r="J33" s="15">
        <f>IF(F33="Pago",0,IF(C33="",0,C33*I33))</f>
        <v/>
      </c>
      <c r="K33" s="14">
        <f>IF(F33="Pago","—",IF(G33=0,"Lembrete gentil",IF(G33&lt;=30,"Cobrar por telefone",IF(G33&lt;=60,"Negociar parcelamento",IF(G33&lt;=90,"Notificação formal","Escalar / jurídico")))))</f>
        <v/>
      </c>
      <c r="L33" s="2" t="n"/>
    </row>
    <row r="34">
      <c r="A34" s="14" t="n"/>
      <c r="B34" s="14" t="n"/>
      <c r="C34" s="15" t="n"/>
      <c r="D34" s="27" t="n"/>
      <c r="E34" s="27" t="n"/>
      <c r="F34" s="14" t="n"/>
      <c r="G34" s="14">
        <f>IF(OR(F34="Pago",E34="",E34&gt;=TODAY()),0,TODAY()-E34)</f>
        <v/>
      </c>
      <c r="H34" s="14">
        <f>IF(F34="Pago","Pago",IF(G34=0,"A vencer",IF(G34&lt;=30,"1-30",IF(G34&lt;=60,"31-60",IF(G34&lt;=90,"61-90","90+")))))</f>
        <v/>
      </c>
      <c r="I34" s="28">
        <f>IF(F34="Pago",1,IF(G34=0,0.97,IF(G34&lt;=30,0.9,IF(G34&lt;=60,0.72,IF(G34&lt;=90,0.5,0.25)))))</f>
        <v/>
      </c>
      <c r="J34" s="15">
        <f>IF(F34="Pago",0,IF(C34="",0,C34*I34))</f>
        <v/>
      </c>
      <c r="K34" s="14">
        <f>IF(F34="Pago","—",IF(G34=0,"Lembrete gentil",IF(G34&lt;=30,"Cobrar por telefone",IF(G34&lt;=60,"Negociar parcelamento",IF(G34&lt;=90,"Notificação formal","Escalar / jurídico")))))</f>
        <v/>
      </c>
      <c r="L34" s="2" t="n"/>
    </row>
    <row r="35">
      <c r="A35" s="14" t="n"/>
      <c r="B35" s="14" t="n"/>
      <c r="C35" s="15" t="n"/>
      <c r="D35" s="27" t="n"/>
      <c r="E35" s="27" t="n"/>
      <c r="F35" s="14" t="n"/>
      <c r="G35" s="14">
        <f>IF(OR(F35="Pago",E35="",E35&gt;=TODAY()),0,TODAY()-E35)</f>
        <v/>
      </c>
      <c r="H35" s="14">
        <f>IF(F35="Pago","Pago",IF(G35=0,"A vencer",IF(G35&lt;=30,"1-30",IF(G35&lt;=60,"31-60",IF(G35&lt;=90,"61-90","90+")))))</f>
        <v/>
      </c>
      <c r="I35" s="28">
        <f>IF(F35="Pago",1,IF(G35=0,0.97,IF(G35&lt;=30,0.9,IF(G35&lt;=60,0.72,IF(G35&lt;=90,0.5,0.25)))))</f>
        <v/>
      </c>
      <c r="J35" s="15">
        <f>IF(F35="Pago",0,IF(C35="",0,C35*I35))</f>
        <v/>
      </c>
      <c r="K35" s="14">
        <f>IF(F35="Pago","—",IF(G35=0,"Lembrete gentil",IF(G35&lt;=30,"Cobrar por telefone",IF(G35&lt;=60,"Negociar parcelamento",IF(G35&lt;=90,"Notificação formal","Escalar / jurídico")))))</f>
        <v/>
      </c>
      <c r="L35" s="2" t="n"/>
    </row>
    <row r="36">
      <c r="A36" s="14" t="n"/>
      <c r="B36" s="14" t="n"/>
      <c r="C36" s="15" t="n"/>
      <c r="D36" s="27" t="n"/>
      <c r="E36" s="27" t="n"/>
      <c r="F36" s="14" t="n"/>
      <c r="G36" s="14">
        <f>IF(OR(F36="Pago",E36="",E36&gt;=TODAY()),0,TODAY()-E36)</f>
        <v/>
      </c>
      <c r="H36" s="14">
        <f>IF(F36="Pago","Pago",IF(G36=0,"A vencer",IF(G36&lt;=30,"1-30",IF(G36&lt;=60,"31-60",IF(G36&lt;=90,"61-90","90+")))))</f>
        <v/>
      </c>
      <c r="I36" s="28">
        <f>IF(F36="Pago",1,IF(G36=0,0.97,IF(G36&lt;=30,0.9,IF(G36&lt;=60,0.72,IF(G36&lt;=90,0.5,0.25)))))</f>
        <v/>
      </c>
      <c r="J36" s="15">
        <f>IF(F36="Pago",0,IF(C36="",0,C36*I36))</f>
        <v/>
      </c>
      <c r="K36" s="14">
        <f>IF(F36="Pago","—",IF(G36=0,"Lembrete gentil",IF(G36&lt;=30,"Cobrar por telefone",IF(G36&lt;=60,"Negociar parcelamento",IF(G36&lt;=90,"Notificação formal","Escalar / jurídico")))))</f>
        <v/>
      </c>
      <c r="L36" s="2" t="n"/>
    </row>
    <row r="37">
      <c r="A37" s="14" t="n"/>
      <c r="B37" s="14" t="n"/>
      <c r="C37" s="15" t="n"/>
      <c r="D37" s="27" t="n"/>
      <c r="E37" s="27" t="n"/>
      <c r="F37" s="14" t="n"/>
      <c r="G37" s="14">
        <f>IF(OR(F37="Pago",E37="",E37&gt;=TODAY()),0,TODAY()-E37)</f>
        <v/>
      </c>
      <c r="H37" s="14">
        <f>IF(F37="Pago","Pago",IF(G37=0,"A vencer",IF(G37&lt;=30,"1-30",IF(G37&lt;=60,"31-60",IF(G37&lt;=90,"61-90","90+")))))</f>
        <v/>
      </c>
      <c r="I37" s="28">
        <f>IF(F37="Pago",1,IF(G37=0,0.97,IF(G37&lt;=30,0.9,IF(G37&lt;=60,0.72,IF(G37&lt;=90,0.5,0.25)))))</f>
        <v/>
      </c>
      <c r="J37" s="15">
        <f>IF(F37="Pago",0,IF(C37="",0,C37*I37))</f>
        <v/>
      </c>
      <c r="K37" s="14">
        <f>IF(F37="Pago","—",IF(G37=0,"Lembrete gentil",IF(G37&lt;=30,"Cobrar por telefone",IF(G37&lt;=60,"Negociar parcelamento",IF(G37&lt;=90,"Notificação formal","Escalar / jurídico")))))</f>
        <v/>
      </c>
      <c r="L37" s="2" t="n"/>
    </row>
    <row r="38">
      <c r="A38" s="14" t="n"/>
      <c r="B38" s="14" t="n"/>
      <c r="C38" s="15" t="n"/>
      <c r="D38" s="27" t="n"/>
      <c r="E38" s="27" t="n"/>
      <c r="F38" s="14" t="n"/>
      <c r="G38" s="14">
        <f>IF(OR(F38="Pago",E38="",E38&gt;=TODAY()),0,TODAY()-E38)</f>
        <v/>
      </c>
      <c r="H38" s="14">
        <f>IF(F38="Pago","Pago",IF(G38=0,"A vencer",IF(G38&lt;=30,"1-30",IF(G38&lt;=60,"31-60",IF(G38&lt;=90,"61-90","90+")))))</f>
        <v/>
      </c>
      <c r="I38" s="28">
        <f>IF(F38="Pago",1,IF(G38=0,0.97,IF(G38&lt;=30,0.9,IF(G38&lt;=60,0.72,IF(G38&lt;=90,0.5,0.25)))))</f>
        <v/>
      </c>
      <c r="J38" s="15">
        <f>IF(F38="Pago",0,IF(C38="",0,C38*I38))</f>
        <v/>
      </c>
      <c r="K38" s="14">
        <f>IF(F38="Pago","—",IF(G38=0,"Lembrete gentil",IF(G38&lt;=30,"Cobrar por telefone",IF(G38&lt;=60,"Negociar parcelamento",IF(G38&lt;=90,"Notificação formal","Escalar / jurídico")))))</f>
        <v/>
      </c>
      <c r="L38" s="2" t="n"/>
    </row>
    <row r="39">
      <c r="A39" s="14" t="n"/>
      <c r="B39" s="14" t="n"/>
      <c r="C39" s="15" t="n"/>
      <c r="D39" s="27" t="n"/>
      <c r="E39" s="27" t="n"/>
      <c r="F39" s="14" t="n"/>
      <c r="G39" s="14">
        <f>IF(OR(F39="Pago",E39="",E39&gt;=TODAY()),0,TODAY()-E39)</f>
        <v/>
      </c>
      <c r="H39" s="14">
        <f>IF(F39="Pago","Pago",IF(G39=0,"A vencer",IF(G39&lt;=30,"1-30",IF(G39&lt;=60,"31-60",IF(G39&lt;=90,"61-90","90+")))))</f>
        <v/>
      </c>
      <c r="I39" s="28">
        <f>IF(F39="Pago",1,IF(G39=0,0.97,IF(G39&lt;=30,0.9,IF(G39&lt;=60,0.72,IF(G39&lt;=90,0.5,0.25)))))</f>
        <v/>
      </c>
      <c r="J39" s="15">
        <f>IF(F39="Pago",0,IF(C39="",0,C39*I39))</f>
        <v/>
      </c>
      <c r="K39" s="14">
        <f>IF(F39="Pago","—",IF(G39=0,"Lembrete gentil",IF(G39&lt;=30,"Cobrar por telefone",IF(G39&lt;=60,"Negociar parcelamento",IF(G39&lt;=90,"Notificação formal","Escalar / jurídico")))))</f>
        <v/>
      </c>
      <c r="L39" s="2" t="n"/>
    </row>
    <row r="40">
      <c r="A40" s="14" t="n"/>
      <c r="B40" s="14" t="n"/>
      <c r="C40" s="15" t="n"/>
      <c r="D40" s="27" t="n"/>
      <c r="E40" s="27" t="n"/>
      <c r="F40" s="14" t="n"/>
      <c r="G40" s="14">
        <f>IF(OR(F40="Pago",E40="",E40&gt;=TODAY()),0,TODAY()-E40)</f>
        <v/>
      </c>
      <c r="H40" s="14">
        <f>IF(F40="Pago","Pago",IF(G40=0,"A vencer",IF(G40&lt;=30,"1-30",IF(G40&lt;=60,"31-60",IF(G40&lt;=90,"61-90","90+")))))</f>
        <v/>
      </c>
      <c r="I40" s="28">
        <f>IF(F40="Pago",1,IF(G40=0,0.97,IF(G40&lt;=30,0.9,IF(G40&lt;=60,0.72,IF(G40&lt;=90,0.5,0.25)))))</f>
        <v/>
      </c>
      <c r="J40" s="15">
        <f>IF(F40="Pago",0,IF(C40="",0,C40*I40))</f>
        <v/>
      </c>
      <c r="K40" s="14">
        <f>IF(F40="Pago","—",IF(G40=0,"Lembrete gentil",IF(G40&lt;=30,"Cobrar por telefone",IF(G40&lt;=60,"Negociar parcelamento",IF(G40&lt;=90,"Notificação formal","Escalar / jurídico")))))</f>
        <v/>
      </c>
      <c r="L40" s="2" t="n"/>
    </row>
    <row r="41">
      <c r="A41" s="14" t="n"/>
      <c r="B41" s="14" t="n"/>
      <c r="C41" s="15" t="n"/>
      <c r="D41" s="27" t="n"/>
      <c r="E41" s="27" t="n"/>
      <c r="F41" s="14" t="n"/>
      <c r="G41" s="14">
        <f>IF(OR(F41="Pago",E41="",E41&gt;=TODAY()),0,TODAY()-E41)</f>
        <v/>
      </c>
      <c r="H41" s="14">
        <f>IF(F41="Pago","Pago",IF(G41=0,"A vencer",IF(G41&lt;=30,"1-30",IF(G41&lt;=60,"31-60",IF(G41&lt;=90,"61-90","90+")))))</f>
        <v/>
      </c>
      <c r="I41" s="28">
        <f>IF(F41="Pago",1,IF(G41=0,0.97,IF(G41&lt;=30,0.9,IF(G41&lt;=60,0.72,IF(G41&lt;=90,0.5,0.25)))))</f>
        <v/>
      </c>
      <c r="J41" s="15">
        <f>IF(F41="Pago",0,IF(C41="",0,C41*I41))</f>
        <v/>
      </c>
      <c r="K41" s="14">
        <f>IF(F41="Pago","—",IF(G41=0,"Lembrete gentil",IF(G41&lt;=30,"Cobrar por telefone",IF(G41&lt;=60,"Negociar parcelamento",IF(G41&lt;=90,"Notificação formal","Escalar / jurídico")))))</f>
        <v/>
      </c>
      <c r="L41" s="2" t="n"/>
    </row>
    <row r="42">
      <c r="A42" s="14" t="n"/>
      <c r="B42" s="14" t="n"/>
      <c r="C42" s="15" t="n"/>
      <c r="D42" s="27" t="n"/>
      <c r="E42" s="27" t="n"/>
      <c r="F42" s="14" t="n"/>
      <c r="G42" s="14">
        <f>IF(OR(F42="Pago",E42="",E42&gt;=TODAY()),0,TODAY()-E42)</f>
        <v/>
      </c>
      <c r="H42" s="14">
        <f>IF(F42="Pago","Pago",IF(G42=0,"A vencer",IF(G42&lt;=30,"1-30",IF(G42&lt;=60,"31-60",IF(G42&lt;=90,"61-90","90+")))))</f>
        <v/>
      </c>
      <c r="I42" s="28">
        <f>IF(F42="Pago",1,IF(G42=0,0.97,IF(G42&lt;=30,0.9,IF(G42&lt;=60,0.72,IF(G42&lt;=90,0.5,0.25)))))</f>
        <v/>
      </c>
      <c r="J42" s="15">
        <f>IF(F42="Pago",0,IF(C42="",0,C42*I42))</f>
        <v/>
      </c>
      <c r="K42" s="14">
        <f>IF(F42="Pago","—",IF(G42=0,"Lembrete gentil",IF(G42&lt;=30,"Cobrar por telefone",IF(G42&lt;=60,"Negociar parcelamento",IF(G42&lt;=90,"Notificação formal","Escalar / jurídico")))))</f>
        <v/>
      </c>
      <c r="L42" s="2" t="n"/>
    </row>
    <row r="43">
      <c r="A43" s="14" t="n"/>
      <c r="B43" s="14" t="n"/>
      <c r="C43" s="15" t="n"/>
      <c r="D43" s="27" t="n"/>
      <c r="E43" s="27" t="n"/>
      <c r="F43" s="14" t="n"/>
      <c r="G43" s="14">
        <f>IF(OR(F43="Pago",E43="",E43&gt;=TODAY()),0,TODAY()-E43)</f>
        <v/>
      </c>
      <c r="H43" s="14">
        <f>IF(F43="Pago","Pago",IF(G43=0,"A vencer",IF(G43&lt;=30,"1-30",IF(G43&lt;=60,"31-60",IF(G43&lt;=90,"61-90","90+")))))</f>
        <v/>
      </c>
      <c r="I43" s="28">
        <f>IF(F43="Pago",1,IF(G43=0,0.97,IF(G43&lt;=30,0.9,IF(G43&lt;=60,0.72,IF(G43&lt;=90,0.5,0.25)))))</f>
        <v/>
      </c>
      <c r="J43" s="15">
        <f>IF(F43="Pago",0,IF(C43="",0,C43*I43))</f>
        <v/>
      </c>
      <c r="K43" s="14">
        <f>IF(F43="Pago","—",IF(G43=0,"Lembrete gentil",IF(G43&lt;=30,"Cobrar por telefone",IF(G43&lt;=60,"Negociar parcelamento",IF(G43&lt;=90,"Notificação formal","Escalar / jurídico")))))</f>
        <v/>
      </c>
      <c r="L43" s="2" t="n"/>
    </row>
    <row r="44">
      <c r="A44" s="14" t="n"/>
      <c r="B44" s="14" t="n"/>
      <c r="C44" s="15" t="n"/>
      <c r="D44" s="27" t="n"/>
      <c r="E44" s="27" t="n"/>
      <c r="F44" s="14" t="n"/>
      <c r="G44" s="14">
        <f>IF(OR(F44="Pago",E44="",E44&gt;=TODAY()),0,TODAY()-E44)</f>
        <v/>
      </c>
      <c r="H44" s="14">
        <f>IF(F44="Pago","Pago",IF(G44=0,"A vencer",IF(G44&lt;=30,"1-30",IF(G44&lt;=60,"31-60",IF(G44&lt;=90,"61-90","90+")))))</f>
        <v/>
      </c>
      <c r="I44" s="28">
        <f>IF(F44="Pago",1,IF(G44=0,0.97,IF(G44&lt;=30,0.9,IF(G44&lt;=60,0.72,IF(G44&lt;=90,0.5,0.25)))))</f>
        <v/>
      </c>
      <c r="J44" s="15">
        <f>IF(F44="Pago",0,IF(C44="",0,C44*I44))</f>
        <v/>
      </c>
      <c r="K44" s="14">
        <f>IF(F44="Pago","—",IF(G44=0,"Lembrete gentil",IF(G44&lt;=30,"Cobrar por telefone",IF(G44&lt;=60,"Negociar parcelamento",IF(G44&lt;=90,"Notificação formal","Escalar / jurídico")))))</f>
        <v/>
      </c>
      <c r="L44" s="2" t="n"/>
    </row>
    <row r="45">
      <c r="A45" s="14" t="n"/>
      <c r="B45" s="14" t="n"/>
      <c r="C45" s="15" t="n"/>
      <c r="D45" s="27" t="n"/>
      <c r="E45" s="27" t="n"/>
      <c r="F45" s="14" t="n"/>
      <c r="G45" s="14">
        <f>IF(OR(F45="Pago",E45="",E45&gt;=TODAY()),0,TODAY()-E45)</f>
        <v/>
      </c>
      <c r="H45" s="14">
        <f>IF(F45="Pago","Pago",IF(G45=0,"A vencer",IF(G45&lt;=30,"1-30",IF(G45&lt;=60,"31-60",IF(G45&lt;=90,"61-90","90+")))))</f>
        <v/>
      </c>
      <c r="I45" s="28">
        <f>IF(F45="Pago",1,IF(G45=0,0.97,IF(G45&lt;=30,0.9,IF(G45&lt;=60,0.72,IF(G45&lt;=90,0.5,0.25)))))</f>
        <v/>
      </c>
      <c r="J45" s="15">
        <f>IF(F45="Pago",0,IF(C45="",0,C45*I45))</f>
        <v/>
      </c>
      <c r="K45" s="14">
        <f>IF(F45="Pago","—",IF(G45=0,"Lembrete gentil",IF(G45&lt;=30,"Cobrar por telefone",IF(G45&lt;=60,"Negociar parcelamento",IF(G45&lt;=90,"Notificação formal","Escalar / jurídico")))))</f>
        <v/>
      </c>
      <c r="L45" s="2" t="n"/>
    </row>
    <row r="46">
      <c r="A46" s="14" t="n"/>
      <c r="B46" s="14" t="n"/>
      <c r="C46" s="15" t="n"/>
      <c r="D46" s="27" t="n"/>
      <c r="E46" s="27" t="n"/>
      <c r="F46" s="14" t="n"/>
      <c r="G46" s="14">
        <f>IF(OR(F46="Pago",E46="",E46&gt;=TODAY()),0,TODAY()-E46)</f>
        <v/>
      </c>
      <c r="H46" s="14">
        <f>IF(F46="Pago","Pago",IF(G46=0,"A vencer",IF(G46&lt;=30,"1-30",IF(G46&lt;=60,"31-60",IF(G46&lt;=90,"61-90","90+")))))</f>
        <v/>
      </c>
      <c r="I46" s="28">
        <f>IF(F46="Pago",1,IF(G46=0,0.97,IF(G46&lt;=30,0.9,IF(G46&lt;=60,0.72,IF(G46&lt;=90,0.5,0.25)))))</f>
        <v/>
      </c>
      <c r="J46" s="15">
        <f>IF(F46="Pago",0,IF(C46="",0,C46*I46))</f>
        <v/>
      </c>
      <c r="K46" s="14">
        <f>IF(F46="Pago","—",IF(G46=0,"Lembrete gentil",IF(G46&lt;=30,"Cobrar por telefone",IF(G46&lt;=60,"Negociar parcelamento",IF(G46&lt;=90,"Notificação formal","Escalar / jurídico")))))</f>
        <v/>
      </c>
      <c r="L46" s="2" t="n"/>
    </row>
    <row r="47">
      <c r="A47" s="14" t="n"/>
      <c r="B47" s="14" t="n"/>
      <c r="C47" s="15" t="n"/>
      <c r="D47" s="27" t="n"/>
      <c r="E47" s="27" t="n"/>
      <c r="F47" s="14" t="n"/>
      <c r="G47" s="14">
        <f>IF(OR(F47="Pago",E47="",E47&gt;=TODAY()),0,TODAY()-E47)</f>
        <v/>
      </c>
      <c r="H47" s="14">
        <f>IF(F47="Pago","Pago",IF(G47=0,"A vencer",IF(G47&lt;=30,"1-30",IF(G47&lt;=60,"31-60",IF(G47&lt;=90,"61-90","90+")))))</f>
        <v/>
      </c>
      <c r="I47" s="28">
        <f>IF(F47="Pago",1,IF(G47=0,0.97,IF(G47&lt;=30,0.9,IF(G47&lt;=60,0.72,IF(G47&lt;=90,0.5,0.25)))))</f>
        <v/>
      </c>
      <c r="J47" s="15">
        <f>IF(F47="Pago",0,IF(C47="",0,C47*I47))</f>
        <v/>
      </c>
      <c r="K47" s="14">
        <f>IF(F47="Pago","—",IF(G47=0,"Lembrete gentil",IF(G47&lt;=30,"Cobrar por telefone",IF(G47&lt;=60,"Negociar parcelamento",IF(G47&lt;=90,"Notificação formal","Escalar / jurídico")))))</f>
        <v/>
      </c>
      <c r="L47" s="2" t="n"/>
    </row>
    <row r="48">
      <c r="A48" s="14" t="n"/>
      <c r="B48" s="14" t="n"/>
      <c r="C48" s="15" t="n"/>
      <c r="D48" s="27" t="n"/>
      <c r="E48" s="27" t="n"/>
      <c r="F48" s="14" t="n"/>
      <c r="G48" s="14">
        <f>IF(OR(F48="Pago",E48="",E48&gt;=TODAY()),0,TODAY()-E48)</f>
        <v/>
      </c>
      <c r="H48" s="14">
        <f>IF(F48="Pago","Pago",IF(G48=0,"A vencer",IF(G48&lt;=30,"1-30",IF(G48&lt;=60,"31-60",IF(G48&lt;=90,"61-90","90+")))))</f>
        <v/>
      </c>
      <c r="I48" s="28">
        <f>IF(F48="Pago",1,IF(G48=0,0.97,IF(G48&lt;=30,0.9,IF(G48&lt;=60,0.72,IF(G48&lt;=90,0.5,0.25)))))</f>
        <v/>
      </c>
      <c r="J48" s="15">
        <f>IF(F48="Pago",0,IF(C48="",0,C48*I48))</f>
        <v/>
      </c>
      <c r="K48" s="14">
        <f>IF(F48="Pago","—",IF(G48=0,"Lembrete gentil",IF(G48&lt;=30,"Cobrar por telefone",IF(G48&lt;=60,"Negociar parcelamento",IF(G48&lt;=90,"Notificação formal","Escalar / jurídico")))))</f>
        <v/>
      </c>
      <c r="L48" s="2" t="n"/>
    </row>
    <row r="49">
      <c r="A49" s="14" t="n"/>
      <c r="B49" s="14" t="n"/>
      <c r="C49" s="15" t="n"/>
      <c r="D49" s="27" t="n"/>
      <c r="E49" s="27" t="n"/>
      <c r="F49" s="14" t="n"/>
      <c r="G49" s="14">
        <f>IF(OR(F49="Pago",E49="",E49&gt;=TODAY()),0,TODAY()-E49)</f>
        <v/>
      </c>
      <c r="H49" s="14">
        <f>IF(F49="Pago","Pago",IF(G49=0,"A vencer",IF(G49&lt;=30,"1-30",IF(G49&lt;=60,"31-60",IF(G49&lt;=90,"61-90","90+")))))</f>
        <v/>
      </c>
      <c r="I49" s="28">
        <f>IF(F49="Pago",1,IF(G49=0,0.97,IF(G49&lt;=30,0.9,IF(G49&lt;=60,0.72,IF(G49&lt;=90,0.5,0.25)))))</f>
        <v/>
      </c>
      <c r="J49" s="15">
        <f>IF(F49="Pago",0,IF(C49="",0,C49*I49))</f>
        <v/>
      </c>
      <c r="K49" s="14">
        <f>IF(F49="Pago","—",IF(G49=0,"Lembrete gentil",IF(G49&lt;=30,"Cobrar por telefone",IF(G49&lt;=60,"Negociar parcelamento",IF(G49&lt;=90,"Notificação formal","Escalar / jurídico")))))</f>
        <v/>
      </c>
      <c r="L49" s="2" t="n"/>
    </row>
    <row r="50">
      <c r="A50" s="14" t="n"/>
      <c r="B50" s="14" t="n"/>
      <c r="C50" s="15" t="n"/>
      <c r="D50" s="27" t="n"/>
      <c r="E50" s="27" t="n"/>
      <c r="F50" s="14" t="n"/>
      <c r="G50" s="14">
        <f>IF(OR(F50="Pago",E50="",E50&gt;=TODAY()),0,TODAY()-E50)</f>
        <v/>
      </c>
      <c r="H50" s="14">
        <f>IF(F50="Pago","Pago",IF(G50=0,"A vencer",IF(G50&lt;=30,"1-30",IF(G50&lt;=60,"31-60",IF(G50&lt;=90,"61-90","90+")))))</f>
        <v/>
      </c>
      <c r="I50" s="28">
        <f>IF(F50="Pago",1,IF(G50=0,0.97,IF(G50&lt;=30,0.9,IF(G50&lt;=60,0.72,IF(G50&lt;=90,0.5,0.25)))))</f>
        <v/>
      </c>
      <c r="J50" s="15">
        <f>IF(F50="Pago",0,IF(C50="",0,C50*I50))</f>
        <v/>
      </c>
      <c r="K50" s="14">
        <f>IF(F50="Pago","—",IF(G50=0,"Lembrete gentil",IF(G50&lt;=30,"Cobrar por telefone",IF(G50&lt;=60,"Negociar parcelamento",IF(G50&lt;=90,"Notificação formal","Escalar / jurídico")))))</f>
        <v/>
      </c>
      <c r="L50" s="2" t="n"/>
    </row>
    <row r="51">
      <c r="A51" s="14" t="n"/>
      <c r="B51" s="14" t="n"/>
      <c r="C51" s="15" t="n"/>
      <c r="D51" s="27" t="n"/>
      <c r="E51" s="27" t="n"/>
      <c r="F51" s="14" t="n"/>
      <c r="G51" s="14">
        <f>IF(OR(F51="Pago",E51="",E51&gt;=TODAY()),0,TODAY()-E51)</f>
        <v/>
      </c>
      <c r="H51" s="14">
        <f>IF(F51="Pago","Pago",IF(G51=0,"A vencer",IF(G51&lt;=30,"1-30",IF(G51&lt;=60,"31-60",IF(G51&lt;=90,"61-90","90+")))))</f>
        <v/>
      </c>
      <c r="I51" s="28">
        <f>IF(F51="Pago",1,IF(G51=0,0.97,IF(G51&lt;=30,0.9,IF(G51&lt;=60,0.72,IF(G51&lt;=90,0.5,0.25)))))</f>
        <v/>
      </c>
      <c r="J51" s="15">
        <f>IF(F51="Pago",0,IF(C51="",0,C51*I51))</f>
        <v/>
      </c>
      <c r="K51" s="14">
        <f>IF(F51="Pago","—",IF(G51=0,"Lembrete gentil",IF(G51&lt;=30,"Cobrar por telefone",IF(G51&lt;=60,"Negociar parcelamento",IF(G51&lt;=90,"Notificação formal","Escalar / jurídico")))))</f>
        <v/>
      </c>
      <c r="L51" s="2" t="n"/>
    </row>
    <row r="52">
      <c r="A52" s="14" t="n"/>
      <c r="B52" s="14" t="n"/>
      <c r="C52" s="15" t="n"/>
      <c r="D52" s="27" t="n"/>
      <c r="E52" s="27" t="n"/>
      <c r="F52" s="14" t="n"/>
      <c r="G52" s="14">
        <f>IF(OR(F52="Pago",E52="",E52&gt;=TODAY()),0,TODAY()-E52)</f>
        <v/>
      </c>
      <c r="H52" s="14">
        <f>IF(F52="Pago","Pago",IF(G52=0,"A vencer",IF(G52&lt;=30,"1-30",IF(G52&lt;=60,"31-60",IF(G52&lt;=90,"61-90","90+")))))</f>
        <v/>
      </c>
      <c r="I52" s="28">
        <f>IF(F52="Pago",1,IF(G52=0,0.97,IF(G52&lt;=30,0.9,IF(G52&lt;=60,0.72,IF(G52&lt;=90,0.5,0.25)))))</f>
        <v/>
      </c>
      <c r="J52" s="15">
        <f>IF(F52="Pago",0,IF(C52="",0,C52*I52))</f>
        <v/>
      </c>
      <c r="K52" s="14">
        <f>IF(F52="Pago","—",IF(G52=0,"Lembrete gentil",IF(G52&lt;=30,"Cobrar por telefone",IF(G52&lt;=60,"Negociar parcelamento",IF(G52&lt;=90,"Notificação formal","Escalar / jurídico")))))</f>
        <v/>
      </c>
      <c r="L52" s="2" t="n"/>
    </row>
    <row r="53">
      <c r="A53" s="14" t="n"/>
      <c r="B53" s="14" t="n"/>
      <c r="C53" s="15" t="n"/>
      <c r="D53" s="27" t="n"/>
      <c r="E53" s="27" t="n"/>
      <c r="F53" s="14" t="n"/>
      <c r="G53" s="14">
        <f>IF(OR(F53="Pago",E53="",E53&gt;=TODAY()),0,TODAY()-E53)</f>
        <v/>
      </c>
      <c r="H53" s="14">
        <f>IF(F53="Pago","Pago",IF(G53=0,"A vencer",IF(G53&lt;=30,"1-30",IF(G53&lt;=60,"31-60",IF(G53&lt;=90,"61-90","90+")))))</f>
        <v/>
      </c>
      <c r="I53" s="28">
        <f>IF(F53="Pago",1,IF(G53=0,0.97,IF(G53&lt;=30,0.9,IF(G53&lt;=60,0.72,IF(G53&lt;=90,0.5,0.25)))))</f>
        <v/>
      </c>
      <c r="J53" s="15">
        <f>IF(F53="Pago",0,IF(C53="",0,C53*I53))</f>
        <v/>
      </c>
      <c r="K53" s="14">
        <f>IF(F53="Pago","—",IF(G53=0,"Lembrete gentil",IF(G53&lt;=30,"Cobrar por telefone",IF(G53&lt;=60,"Negociar parcelamento",IF(G53&lt;=90,"Notificação formal","Escalar / jurídico")))))</f>
        <v/>
      </c>
      <c r="L53" s="2" t="n"/>
    </row>
    <row r="54">
      <c r="A54" s="14" t="n"/>
      <c r="B54" s="14" t="n"/>
      <c r="C54" s="15" t="n"/>
      <c r="D54" s="27" t="n"/>
      <c r="E54" s="27" t="n"/>
      <c r="F54" s="14" t="n"/>
      <c r="G54" s="14">
        <f>IF(OR(F54="Pago",E54="",E54&gt;=TODAY()),0,TODAY()-E54)</f>
        <v/>
      </c>
      <c r="H54" s="14">
        <f>IF(F54="Pago","Pago",IF(G54=0,"A vencer",IF(G54&lt;=30,"1-30",IF(G54&lt;=60,"31-60",IF(G54&lt;=90,"61-90","90+")))))</f>
        <v/>
      </c>
      <c r="I54" s="28">
        <f>IF(F54="Pago",1,IF(G54=0,0.97,IF(G54&lt;=30,0.9,IF(G54&lt;=60,0.72,IF(G54&lt;=90,0.5,0.25)))))</f>
        <v/>
      </c>
      <c r="J54" s="15">
        <f>IF(F54="Pago",0,IF(C54="",0,C54*I54))</f>
        <v/>
      </c>
      <c r="K54" s="14">
        <f>IF(F54="Pago","—",IF(G54=0,"Lembrete gentil",IF(G54&lt;=30,"Cobrar por telefone",IF(G54&lt;=60,"Negociar parcelamento",IF(G54&lt;=90,"Notificação formal","Escalar / jurídico")))))</f>
        <v/>
      </c>
      <c r="L54" s="2" t="n"/>
    </row>
    <row r="55">
      <c r="A55" s="14" t="n"/>
      <c r="B55" s="14" t="n"/>
      <c r="C55" s="15" t="n"/>
      <c r="D55" s="27" t="n"/>
      <c r="E55" s="27" t="n"/>
      <c r="F55" s="14" t="n"/>
      <c r="G55" s="14">
        <f>IF(OR(F55="Pago",E55="",E55&gt;=TODAY()),0,TODAY()-E55)</f>
        <v/>
      </c>
      <c r="H55" s="14">
        <f>IF(F55="Pago","Pago",IF(G55=0,"A vencer",IF(G55&lt;=30,"1-30",IF(G55&lt;=60,"31-60",IF(G55&lt;=90,"61-90","90+")))))</f>
        <v/>
      </c>
      <c r="I55" s="28">
        <f>IF(F55="Pago",1,IF(G55=0,0.97,IF(G55&lt;=30,0.9,IF(G55&lt;=60,0.72,IF(G55&lt;=90,0.5,0.25)))))</f>
        <v/>
      </c>
      <c r="J55" s="15">
        <f>IF(F55="Pago",0,IF(C55="",0,C55*I55))</f>
        <v/>
      </c>
      <c r="K55" s="14">
        <f>IF(F55="Pago","—",IF(G55=0,"Lembrete gentil",IF(G55&lt;=30,"Cobrar por telefone",IF(G55&lt;=60,"Negociar parcelamento",IF(G55&lt;=90,"Notificação formal","Escalar / jurídico")))))</f>
        <v/>
      </c>
      <c r="L55" s="2" t="n"/>
    </row>
    <row r="56">
      <c r="A56" s="14" t="n"/>
      <c r="B56" s="14" t="n"/>
      <c r="C56" s="15" t="n"/>
      <c r="D56" s="27" t="n"/>
      <c r="E56" s="27" t="n"/>
      <c r="F56" s="14" t="n"/>
      <c r="G56" s="14">
        <f>IF(OR(F56="Pago",E56="",E56&gt;=TODAY()),0,TODAY()-E56)</f>
        <v/>
      </c>
      <c r="H56" s="14">
        <f>IF(F56="Pago","Pago",IF(G56=0,"A vencer",IF(G56&lt;=30,"1-30",IF(G56&lt;=60,"31-60",IF(G56&lt;=90,"61-90","90+")))))</f>
        <v/>
      </c>
      <c r="I56" s="28">
        <f>IF(F56="Pago",1,IF(G56=0,0.97,IF(G56&lt;=30,0.9,IF(G56&lt;=60,0.72,IF(G56&lt;=90,0.5,0.25)))))</f>
        <v/>
      </c>
      <c r="J56" s="15">
        <f>IF(F56="Pago",0,IF(C56="",0,C56*I56))</f>
        <v/>
      </c>
      <c r="K56" s="14">
        <f>IF(F56="Pago","—",IF(G56=0,"Lembrete gentil",IF(G56&lt;=30,"Cobrar por telefone",IF(G56&lt;=60,"Negociar parcelamento",IF(G56&lt;=90,"Notificação formal","Escalar / jurídico")))))</f>
        <v/>
      </c>
      <c r="L56" s="2" t="n"/>
    </row>
    <row r="57">
      <c r="A57" s="14" t="n"/>
      <c r="B57" s="14" t="n"/>
      <c r="C57" s="15" t="n"/>
      <c r="D57" s="27" t="n"/>
      <c r="E57" s="27" t="n"/>
      <c r="F57" s="14" t="n"/>
      <c r="G57" s="14">
        <f>IF(OR(F57="Pago",E57="",E57&gt;=TODAY()),0,TODAY()-E57)</f>
        <v/>
      </c>
      <c r="H57" s="14">
        <f>IF(F57="Pago","Pago",IF(G57=0,"A vencer",IF(G57&lt;=30,"1-30",IF(G57&lt;=60,"31-60",IF(G57&lt;=90,"61-90","90+")))))</f>
        <v/>
      </c>
      <c r="I57" s="28">
        <f>IF(F57="Pago",1,IF(G57=0,0.97,IF(G57&lt;=30,0.9,IF(G57&lt;=60,0.72,IF(G57&lt;=90,0.5,0.25)))))</f>
        <v/>
      </c>
      <c r="J57" s="15">
        <f>IF(F57="Pago",0,IF(C57="",0,C57*I57))</f>
        <v/>
      </c>
      <c r="K57" s="14">
        <f>IF(F57="Pago","—",IF(G57=0,"Lembrete gentil",IF(G57&lt;=30,"Cobrar por telefone",IF(G57&lt;=60,"Negociar parcelamento",IF(G57&lt;=90,"Notificação formal","Escalar / jurídico")))))</f>
        <v/>
      </c>
      <c r="L57" s="2" t="n"/>
    </row>
    <row r="58">
      <c r="A58" s="14" t="n"/>
      <c r="B58" s="14" t="n"/>
      <c r="C58" s="15" t="n"/>
      <c r="D58" s="27" t="n"/>
      <c r="E58" s="27" t="n"/>
      <c r="F58" s="14" t="n"/>
      <c r="G58" s="14">
        <f>IF(OR(F58="Pago",E58="",E58&gt;=TODAY()),0,TODAY()-E58)</f>
        <v/>
      </c>
      <c r="H58" s="14">
        <f>IF(F58="Pago","Pago",IF(G58=0,"A vencer",IF(G58&lt;=30,"1-30",IF(G58&lt;=60,"31-60",IF(G58&lt;=90,"61-90","90+")))))</f>
        <v/>
      </c>
      <c r="I58" s="28">
        <f>IF(F58="Pago",1,IF(G58=0,0.97,IF(G58&lt;=30,0.9,IF(G58&lt;=60,0.72,IF(G58&lt;=90,0.5,0.25)))))</f>
        <v/>
      </c>
      <c r="J58" s="15">
        <f>IF(F58="Pago",0,IF(C58="",0,C58*I58))</f>
        <v/>
      </c>
      <c r="K58" s="14">
        <f>IF(F58="Pago","—",IF(G58=0,"Lembrete gentil",IF(G58&lt;=30,"Cobrar por telefone",IF(G58&lt;=60,"Negociar parcelamento",IF(G58&lt;=90,"Notificação formal","Escalar / jurídico")))))</f>
        <v/>
      </c>
      <c r="L58" s="2" t="n"/>
    </row>
    <row r="59">
      <c r="A59" s="14" t="n"/>
      <c r="B59" s="14" t="n"/>
      <c r="C59" s="15" t="n"/>
      <c r="D59" s="27" t="n"/>
      <c r="E59" s="27" t="n"/>
      <c r="F59" s="14" t="n"/>
      <c r="G59" s="14">
        <f>IF(OR(F59="Pago",E59="",E59&gt;=TODAY()),0,TODAY()-E59)</f>
        <v/>
      </c>
      <c r="H59" s="14">
        <f>IF(F59="Pago","Pago",IF(G59=0,"A vencer",IF(G59&lt;=30,"1-30",IF(G59&lt;=60,"31-60",IF(G59&lt;=90,"61-90","90+")))))</f>
        <v/>
      </c>
      <c r="I59" s="28">
        <f>IF(F59="Pago",1,IF(G59=0,0.97,IF(G59&lt;=30,0.9,IF(G59&lt;=60,0.72,IF(G59&lt;=90,0.5,0.25)))))</f>
        <v/>
      </c>
      <c r="J59" s="15">
        <f>IF(F59="Pago",0,IF(C59="",0,C59*I59))</f>
        <v/>
      </c>
      <c r="K59" s="14">
        <f>IF(F59="Pago","—",IF(G59=0,"Lembrete gentil",IF(G59&lt;=30,"Cobrar por telefone",IF(G59&lt;=60,"Negociar parcelamento",IF(G59&lt;=90,"Notificação formal","Escalar / jurídico")))))</f>
        <v/>
      </c>
      <c r="L59" s="2" t="n"/>
    </row>
    <row r="60">
      <c r="A60" s="14" t="n"/>
      <c r="B60" s="14" t="n"/>
      <c r="C60" s="15" t="n"/>
      <c r="D60" s="27" t="n"/>
      <c r="E60" s="27" t="n"/>
      <c r="F60" s="14" t="n"/>
      <c r="G60" s="14">
        <f>IF(OR(F60="Pago",E60="",E60&gt;=TODAY()),0,TODAY()-E60)</f>
        <v/>
      </c>
      <c r="H60" s="14">
        <f>IF(F60="Pago","Pago",IF(G60=0,"A vencer",IF(G60&lt;=30,"1-30",IF(G60&lt;=60,"31-60",IF(G60&lt;=90,"61-90","90+")))))</f>
        <v/>
      </c>
      <c r="I60" s="28">
        <f>IF(F60="Pago",1,IF(G60=0,0.97,IF(G60&lt;=30,0.9,IF(G60&lt;=60,0.72,IF(G60&lt;=90,0.5,0.25)))))</f>
        <v/>
      </c>
      <c r="J60" s="15">
        <f>IF(F60="Pago",0,IF(C60="",0,C60*I60))</f>
        <v/>
      </c>
      <c r="K60" s="14">
        <f>IF(F60="Pago","—",IF(G60=0,"Lembrete gentil",IF(G60&lt;=30,"Cobrar por telefone",IF(G60&lt;=60,"Negociar parcelamento",IF(G60&lt;=90,"Notificação formal","Escalar / jurídico")))))</f>
        <v/>
      </c>
      <c r="L60" s="2" t="n"/>
    </row>
    <row r="61">
      <c r="A61" s="14" t="n"/>
      <c r="B61" s="14" t="n"/>
      <c r="C61" s="15" t="n"/>
      <c r="D61" s="27" t="n"/>
      <c r="E61" s="27" t="n"/>
      <c r="F61" s="14" t="n"/>
      <c r="G61" s="14">
        <f>IF(OR(F61="Pago",E61="",E61&gt;=TODAY()),0,TODAY()-E61)</f>
        <v/>
      </c>
      <c r="H61" s="14">
        <f>IF(F61="Pago","Pago",IF(G61=0,"A vencer",IF(G61&lt;=30,"1-30",IF(G61&lt;=60,"31-60",IF(G61&lt;=90,"61-90","90+")))))</f>
        <v/>
      </c>
      <c r="I61" s="28">
        <f>IF(F61="Pago",1,IF(G61=0,0.97,IF(G61&lt;=30,0.9,IF(G61&lt;=60,0.72,IF(G61&lt;=90,0.5,0.25)))))</f>
        <v/>
      </c>
      <c r="J61" s="15">
        <f>IF(F61="Pago",0,IF(C61="",0,C61*I61))</f>
        <v/>
      </c>
      <c r="K61" s="14">
        <f>IF(F61="Pago","—",IF(G61=0,"Lembrete gentil",IF(G61&lt;=30,"Cobrar por telefone",IF(G61&lt;=60,"Negociar parcelamento",IF(G61&lt;=90,"Notificação formal","Escalar / jurídico")))))</f>
        <v/>
      </c>
      <c r="L61" s="2" t="n"/>
    </row>
    <row r="62">
      <c r="A62" s="14" t="n"/>
      <c r="B62" s="14" t="n"/>
      <c r="C62" s="15" t="n"/>
      <c r="D62" s="27" t="n"/>
      <c r="E62" s="27" t="n"/>
      <c r="F62" s="14" t="n"/>
      <c r="G62" s="14">
        <f>IF(OR(F62="Pago",E62="",E62&gt;=TODAY()),0,TODAY()-E62)</f>
        <v/>
      </c>
      <c r="H62" s="14">
        <f>IF(F62="Pago","Pago",IF(G62=0,"A vencer",IF(G62&lt;=30,"1-30",IF(G62&lt;=60,"31-60",IF(G62&lt;=90,"61-90","90+")))))</f>
        <v/>
      </c>
      <c r="I62" s="28">
        <f>IF(F62="Pago",1,IF(G62=0,0.97,IF(G62&lt;=30,0.9,IF(G62&lt;=60,0.72,IF(G62&lt;=90,0.5,0.25)))))</f>
        <v/>
      </c>
      <c r="J62" s="15">
        <f>IF(F62="Pago",0,IF(C62="",0,C62*I62))</f>
        <v/>
      </c>
      <c r="K62" s="14">
        <f>IF(F62="Pago","—",IF(G62=0,"Lembrete gentil",IF(G62&lt;=30,"Cobrar por telefone",IF(G62&lt;=60,"Negociar parcelamento",IF(G62&lt;=90,"Notificação formal","Escalar / jurídico")))))</f>
        <v/>
      </c>
      <c r="L62" s="2" t="n"/>
    </row>
    <row r="63">
      <c r="A63" s="14" t="n"/>
      <c r="B63" s="14" t="n"/>
      <c r="C63" s="15" t="n"/>
      <c r="D63" s="27" t="n"/>
      <c r="E63" s="27" t="n"/>
      <c r="F63" s="14" t="n"/>
      <c r="G63" s="14">
        <f>IF(OR(F63="Pago",E63="",E63&gt;=TODAY()),0,TODAY()-E63)</f>
        <v/>
      </c>
      <c r="H63" s="14">
        <f>IF(F63="Pago","Pago",IF(G63=0,"A vencer",IF(G63&lt;=30,"1-30",IF(G63&lt;=60,"31-60",IF(G63&lt;=90,"61-90","90+")))))</f>
        <v/>
      </c>
      <c r="I63" s="28">
        <f>IF(F63="Pago",1,IF(G63=0,0.97,IF(G63&lt;=30,0.9,IF(G63&lt;=60,0.72,IF(G63&lt;=90,0.5,0.25)))))</f>
        <v/>
      </c>
      <c r="J63" s="15">
        <f>IF(F63="Pago",0,IF(C63="",0,C63*I63))</f>
        <v/>
      </c>
      <c r="K63" s="14">
        <f>IF(F63="Pago","—",IF(G63=0,"Lembrete gentil",IF(G63&lt;=30,"Cobrar por telefone",IF(G63&lt;=60,"Negociar parcelamento",IF(G63&lt;=90,"Notificação formal","Escalar / jurídico")))))</f>
        <v/>
      </c>
      <c r="L63" s="2" t="n"/>
    </row>
    <row r="64">
      <c r="A64" s="14" t="n"/>
      <c r="B64" s="14" t="n"/>
      <c r="C64" s="15" t="n"/>
      <c r="D64" s="27" t="n"/>
      <c r="E64" s="27" t="n"/>
      <c r="F64" s="14" t="n"/>
      <c r="G64" s="14">
        <f>IF(OR(F64="Pago",E64="",E64&gt;=TODAY()),0,TODAY()-E64)</f>
        <v/>
      </c>
      <c r="H64" s="14">
        <f>IF(F64="Pago","Pago",IF(G64=0,"A vencer",IF(G64&lt;=30,"1-30",IF(G64&lt;=60,"31-60",IF(G64&lt;=90,"61-90","90+")))))</f>
        <v/>
      </c>
      <c r="I64" s="28">
        <f>IF(F64="Pago",1,IF(G64=0,0.97,IF(G64&lt;=30,0.9,IF(G64&lt;=60,0.72,IF(G64&lt;=90,0.5,0.25)))))</f>
        <v/>
      </c>
      <c r="J64" s="15">
        <f>IF(F64="Pago",0,IF(C64="",0,C64*I64))</f>
        <v/>
      </c>
      <c r="K64" s="14">
        <f>IF(F64="Pago","—",IF(G64=0,"Lembrete gentil",IF(G64&lt;=30,"Cobrar por telefone",IF(G64&lt;=60,"Negociar parcelamento",IF(G64&lt;=90,"Notificação formal","Escalar / jurídico")))))</f>
        <v/>
      </c>
      <c r="L64" s="2" t="n"/>
    </row>
    <row r="65">
      <c r="A65" s="14" t="n"/>
      <c r="B65" s="14" t="n"/>
      <c r="C65" s="15" t="n"/>
      <c r="D65" s="27" t="n"/>
      <c r="E65" s="27" t="n"/>
      <c r="F65" s="14" t="n"/>
      <c r="G65" s="14">
        <f>IF(OR(F65="Pago",E65="",E65&gt;=TODAY()),0,TODAY()-E65)</f>
        <v/>
      </c>
      <c r="H65" s="14">
        <f>IF(F65="Pago","Pago",IF(G65=0,"A vencer",IF(G65&lt;=30,"1-30",IF(G65&lt;=60,"31-60",IF(G65&lt;=90,"61-90","90+")))))</f>
        <v/>
      </c>
      <c r="I65" s="28">
        <f>IF(F65="Pago",1,IF(G65=0,0.97,IF(G65&lt;=30,0.9,IF(G65&lt;=60,0.72,IF(G65&lt;=90,0.5,0.25)))))</f>
        <v/>
      </c>
      <c r="J65" s="15">
        <f>IF(F65="Pago",0,IF(C65="",0,C65*I65))</f>
        <v/>
      </c>
      <c r="K65" s="14">
        <f>IF(F65="Pago","—",IF(G65=0,"Lembrete gentil",IF(G65&lt;=30,"Cobrar por telefone",IF(G65&lt;=60,"Negociar parcelamento",IF(G65&lt;=90,"Notificação formal","Escalar / jurídico")))))</f>
        <v/>
      </c>
      <c r="L65" s="2" t="n"/>
    </row>
    <row r="66">
      <c r="A66" s="14" t="n"/>
      <c r="B66" s="14" t="n"/>
      <c r="C66" s="15" t="n"/>
      <c r="D66" s="27" t="n"/>
      <c r="E66" s="27" t="n"/>
      <c r="F66" s="14" t="n"/>
      <c r="G66" s="14">
        <f>IF(OR(F66="Pago",E66="",E66&gt;=TODAY()),0,TODAY()-E66)</f>
        <v/>
      </c>
      <c r="H66" s="14">
        <f>IF(F66="Pago","Pago",IF(G66=0,"A vencer",IF(G66&lt;=30,"1-30",IF(G66&lt;=60,"31-60",IF(G66&lt;=90,"61-90","90+")))))</f>
        <v/>
      </c>
      <c r="I66" s="28">
        <f>IF(F66="Pago",1,IF(G66=0,0.97,IF(G66&lt;=30,0.9,IF(G66&lt;=60,0.72,IF(G66&lt;=90,0.5,0.25)))))</f>
        <v/>
      </c>
      <c r="J66" s="15">
        <f>IF(F66="Pago",0,IF(C66="",0,C66*I66))</f>
        <v/>
      </c>
      <c r="K66" s="14">
        <f>IF(F66="Pago","—",IF(G66=0,"Lembrete gentil",IF(G66&lt;=30,"Cobrar por telefone",IF(G66&lt;=60,"Negociar parcelamento",IF(G66&lt;=90,"Notificação formal","Escalar / jurídico")))))</f>
        <v/>
      </c>
      <c r="L66" s="2" t="n"/>
    </row>
    <row r="67">
      <c r="A67" s="14" t="n"/>
      <c r="B67" s="14" t="n"/>
      <c r="C67" s="15" t="n"/>
      <c r="D67" s="27" t="n"/>
      <c r="E67" s="27" t="n"/>
      <c r="F67" s="14" t="n"/>
      <c r="G67" s="14">
        <f>IF(OR(F67="Pago",E67="",E67&gt;=TODAY()),0,TODAY()-E67)</f>
        <v/>
      </c>
      <c r="H67" s="14">
        <f>IF(F67="Pago","Pago",IF(G67=0,"A vencer",IF(G67&lt;=30,"1-30",IF(G67&lt;=60,"31-60",IF(G67&lt;=90,"61-90","90+")))))</f>
        <v/>
      </c>
      <c r="I67" s="28">
        <f>IF(F67="Pago",1,IF(G67=0,0.97,IF(G67&lt;=30,0.9,IF(G67&lt;=60,0.72,IF(G67&lt;=90,0.5,0.25)))))</f>
        <v/>
      </c>
      <c r="J67" s="15">
        <f>IF(F67="Pago",0,IF(C67="",0,C67*I67))</f>
        <v/>
      </c>
      <c r="K67" s="14">
        <f>IF(F67="Pago","—",IF(G67=0,"Lembrete gentil",IF(G67&lt;=30,"Cobrar por telefone",IF(G67&lt;=60,"Negociar parcelamento",IF(G67&lt;=90,"Notificação formal","Escalar / jurídico")))))</f>
        <v/>
      </c>
      <c r="L67" s="2" t="n"/>
    </row>
    <row r="68">
      <c r="A68" s="14" t="n"/>
      <c r="B68" s="14" t="n"/>
      <c r="C68" s="15" t="n"/>
      <c r="D68" s="27" t="n"/>
      <c r="E68" s="27" t="n"/>
      <c r="F68" s="14" t="n"/>
      <c r="G68" s="14">
        <f>IF(OR(F68="Pago",E68="",E68&gt;=TODAY()),0,TODAY()-E68)</f>
        <v/>
      </c>
      <c r="H68" s="14">
        <f>IF(F68="Pago","Pago",IF(G68=0,"A vencer",IF(G68&lt;=30,"1-30",IF(G68&lt;=60,"31-60",IF(G68&lt;=90,"61-90","90+")))))</f>
        <v/>
      </c>
      <c r="I68" s="28">
        <f>IF(F68="Pago",1,IF(G68=0,0.97,IF(G68&lt;=30,0.9,IF(G68&lt;=60,0.72,IF(G68&lt;=90,0.5,0.25)))))</f>
        <v/>
      </c>
      <c r="J68" s="15">
        <f>IF(F68="Pago",0,IF(C68="",0,C68*I68))</f>
        <v/>
      </c>
      <c r="K68" s="14">
        <f>IF(F68="Pago","—",IF(G68=0,"Lembrete gentil",IF(G68&lt;=30,"Cobrar por telefone",IF(G68&lt;=60,"Negociar parcelamento",IF(G68&lt;=90,"Notificação formal","Escalar / jurídico")))))</f>
        <v/>
      </c>
      <c r="L68" s="2" t="n"/>
    </row>
    <row r="69">
      <c r="A69" s="14" t="n"/>
      <c r="B69" s="14" t="n"/>
      <c r="C69" s="15" t="n"/>
      <c r="D69" s="27" t="n"/>
      <c r="E69" s="27" t="n"/>
      <c r="F69" s="14" t="n"/>
      <c r="G69" s="14">
        <f>IF(OR(F69="Pago",E69="",E69&gt;=TODAY()),0,TODAY()-E69)</f>
        <v/>
      </c>
      <c r="H69" s="14">
        <f>IF(F69="Pago","Pago",IF(G69=0,"A vencer",IF(G69&lt;=30,"1-30",IF(G69&lt;=60,"31-60",IF(G69&lt;=90,"61-90","90+")))))</f>
        <v/>
      </c>
      <c r="I69" s="28">
        <f>IF(F69="Pago",1,IF(G69=0,0.97,IF(G69&lt;=30,0.9,IF(G69&lt;=60,0.72,IF(G69&lt;=90,0.5,0.25)))))</f>
        <v/>
      </c>
      <c r="J69" s="15">
        <f>IF(F69="Pago",0,IF(C69="",0,C69*I69))</f>
        <v/>
      </c>
      <c r="K69" s="14">
        <f>IF(F69="Pago","—",IF(G69=0,"Lembrete gentil",IF(G69&lt;=30,"Cobrar por telefone",IF(G69&lt;=60,"Negociar parcelamento",IF(G69&lt;=90,"Notificação formal","Escalar / jurídico")))))</f>
        <v/>
      </c>
      <c r="L69" s="2" t="n"/>
    </row>
    <row r="70">
      <c r="A70" s="14" t="n"/>
      <c r="B70" s="14" t="n"/>
      <c r="C70" s="15" t="n"/>
      <c r="D70" s="27" t="n"/>
      <c r="E70" s="27" t="n"/>
      <c r="F70" s="14" t="n"/>
      <c r="G70" s="14">
        <f>IF(OR(F70="Pago",E70="",E70&gt;=TODAY()),0,TODAY()-E70)</f>
        <v/>
      </c>
      <c r="H70" s="14">
        <f>IF(F70="Pago","Pago",IF(G70=0,"A vencer",IF(G70&lt;=30,"1-30",IF(G70&lt;=60,"31-60",IF(G70&lt;=90,"61-90","90+")))))</f>
        <v/>
      </c>
      <c r="I70" s="28">
        <f>IF(F70="Pago",1,IF(G70=0,0.97,IF(G70&lt;=30,0.9,IF(G70&lt;=60,0.72,IF(G70&lt;=90,0.5,0.25)))))</f>
        <v/>
      </c>
      <c r="J70" s="15">
        <f>IF(F70="Pago",0,IF(C70="",0,C70*I70))</f>
        <v/>
      </c>
      <c r="K70" s="14">
        <f>IF(F70="Pago","—",IF(G70=0,"Lembrete gentil",IF(G70&lt;=30,"Cobrar por telefone",IF(G70&lt;=60,"Negociar parcelamento",IF(G70&lt;=90,"Notificação formal","Escalar / jurídico")))))</f>
        <v/>
      </c>
      <c r="L70" s="2" t="n"/>
    </row>
    <row r="71">
      <c r="A71" s="14" t="n"/>
      <c r="B71" s="14" t="n"/>
      <c r="C71" s="15" t="n"/>
      <c r="D71" s="27" t="n"/>
      <c r="E71" s="27" t="n"/>
      <c r="F71" s="14" t="n"/>
      <c r="G71" s="14">
        <f>IF(OR(F71="Pago",E71="",E71&gt;=TODAY()),0,TODAY()-E71)</f>
        <v/>
      </c>
      <c r="H71" s="14">
        <f>IF(F71="Pago","Pago",IF(G71=0,"A vencer",IF(G71&lt;=30,"1-30",IF(G71&lt;=60,"31-60",IF(G71&lt;=90,"61-90","90+")))))</f>
        <v/>
      </c>
      <c r="I71" s="28">
        <f>IF(F71="Pago",1,IF(G71=0,0.97,IF(G71&lt;=30,0.9,IF(G71&lt;=60,0.72,IF(G71&lt;=90,0.5,0.25)))))</f>
        <v/>
      </c>
      <c r="J71" s="15">
        <f>IF(F71="Pago",0,IF(C71="",0,C71*I71))</f>
        <v/>
      </c>
      <c r="K71" s="14">
        <f>IF(F71="Pago","—",IF(G71=0,"Lembrete gentil",IF(G71&lt;=30,"Cobrar por telefone",IF(G71&lt;=60,"Negociar parcelamento",IF(G71&lt;=90,"Notificação formal","Escalar / jurídico")))))</f>
        <v/>
      </c>
      <c r="L71" s="2" t="n"/>
    </row>
    <row r="72">
      <c r="A72" s="14" t="n"/>
      <c r="B72" s="14" t="n"/>
      <c r="C72" s="15" t="n"/>
      <c r="D72" s="27" t="n"/>
      <c r="E72" s="27" t="n"/>
      <c r="F72" s="14" t="n"/>
      <c r="G72" s="14">
        <f>IF(OR(F72="Pago",E72="",E72&gt;=TODAY()),0,TODAY()-E72)</f>
        <v/>
      </c>
      <c r="H72" s="14">
        <f>IF(F72="Pago","Pago",IF(G72=0,"A vencer",IF(G72&lt;=30,"1-30",IF(G72&lt;=60,"31-60",IF(G72&lt;=90,"61-90","90+")))))</f>
        <v/>
      </c>
      <c r="I72" s="28">
        <f>IF(F72="Pago",1,IF(G72=0,0.97,IF(G72&lt;=30,0.9,IF(G72&lt;=60,0.72,IF(G72&lt;=90,0.5,0.25)))))</f>
        <v/>
      </c>
      <c r="J72" s="15">
        <f>IF(F72="Pago",0,IF(C72="",0,C72*I72))</f>
        <v/>
      </c>
      <c r="K72" s="14">
        <f>IF(F72="Pago","—",IF(G72=0,"Lembrete gentil",IF(G72&lt;=30,"Cobrar por telefone",IF(G72&lt;=60,"Negociar parcelamento",IF(G72&lt;=90,"Notificação formal","Escalar / jurídico")))))</f>
        <v/>
      </c>
      <c r="L72" s="2" t="n"/>
    </row>
    <row r="73">
      <c r="A73" s="14" t="n"/>
      <c r="B73" s="14" t="n"/>
      <c r="C73" s="15" t="n"/>
      <c r="D73" s="27" t="n"/>
      <c r="E73" s="27" t="n"/>
      <c r="F73" s="14" t="n"/>
      <c r="G73" s="14">
        <f>IF(OR(F73="Pago",E73="",E73&gt;=TODAY()),0,TODAY()-E73)</f>
        <v/>
      </c>
      <c r="H73" s="14">
        <f>IF(F73="Pago","Pago",IF(G73=0,"A vencer",IF(G73&lt;=30,"1-30",IF(G73&lt;=60,"31-60",IF(G73&lt;=90,"61-90","90+")))))</f>
        <v/>
      </c>
      <c r="I73" s="28">
        <f>IF(F73="Pago",1,IF(G73=0,0.97,IF(G73&lt;=30,0.9,IF(G73&lt;=60,0.72,IF(G73&lt;=90,0.5,0.25)))))</f>
        <v/>
      </c>
      <c r="J73" s="15">
        <f>IF(F73="Pago",0,IF(C73="",0,C73*I73))</f>
        <v/>
      </c>
      <c r="K73" s="14">
        <f>IF(F73="Pago","—",IF(G73=0,"Lembrete gentil",IF(G73&lt;=30,"Cobrar por telefone",IF(G73&lt;=60,"Negociar parcelamento",IF(G73&lt;=90,"Notificação formal","Escalar / jurídico")))))</f>
        <v/>
      </c>
      <c r="L73" s="2" t="n"/>
    </row>
    <row r="74">
      <c r="A74" s="14" t="n"/>
      <c r="B74" s="14" t="n"/>
      <c r="C74" s="15" t="n"/>
      <c r="D74" s="27" t="n"/>
      <c r="E74" s="27" t="n"/>
      <c r="F74" s="14" t="n"/>
      <c r="G74" s="14">
        <f>IF(OR(F74="Pago",E74="",E74&gt;=TODAY()),0,TODAY()-E74)</f>
        <v/>
      </c>
      <c r="H74" s="14">
        <f>IF(F74="Pago","Pago",IF(G74=0,"A vencer",IF(G74&lt;=30,"1-30",IF(G74&lt;=60,"31-60",IF(G74&lt;=90,"61-90","90+")))))</f>
        <v/>
      </c>
      <c r="I74" s="28">
        <f>IF(F74="Pago",1,IF(G74=0,0.97,IF(G74&lt;=30,0.9,IF(G74&lt;=60,0.72,IF(G74&lt;=90,0.5,0.25)))))</f>
        <v/>
      </c>
      <c r="J74" s="15">
        <f>IF(F74="Pago",0,IF(C74="",0,C74*I74))</f>
        <v/>
      </c>
      <c r="K74" s="14">
        <f>IF(F74="Pago","—",IF(G74=0,"Lembrete gentil",IF(G74&lt;=30,"Cobrar por telefone",IF(G74&lt;=60,"Negociar parcelamento",IF(G74&lt;=90,"Notificação formal","Escalar / jurídico")))))</f>
        <v/>
      </c>
      <c r="L74" s="2" t="n"/>
    </row>
    <row r="75">
      <c r="A75" s="14" t="n"/>
      <c r="B75" s="14" t="n"/>
      <c r="C75" s="15" t="n"/>
      <c r="D75" s="27" t="n"/>
      <c r="E75" s="27" t="n"/>
      <c r="F75" s="14" t="n"/>
      <c r="G75" s="14">
        <f>IF(OR(F75="Pago",E75="",E75&gt;=TODAY()),0,TODAY()-E75)</f>
        <v/>
      </c>
      <c r="H75" s="14">
        <f>IF(F75="Pago","Pago",IF(G75=0,"A vencer",IF(G75&lt;=30,"1-30",IF(G75&lt;=60,"31-60",IF(G75&lt;=90,"61-90","90+")))))</f>
        <v/>
      </c>
      <c r="I75" s="28">
        <f>IF(F75="Pago",1,IF(G75=0,0.97,IF(G75&lt;=30,0.9,IF(G75&lt;=60,0.72,IF(G75&lt;=90,0.5,0.25)))))</f>
        <v/>
      </c>
      <c r="J75" s="15">
        <f>IF(F75="Pago",0,IF(C75="",0,C75*I75))</f>
        <v/>
      </c>
      <c r="K75" s="14">
        <f>IF(F75="Pago","—",IF(G75=0,"Lembrete gentil",IF(G75&lt;=30,"Cobrar por telefone",IF(G75&lt;=60,"Negociar parcelamento",IF(G75&lt;=90,"Notificação formal","Escalar / jurídico")))))</f>
        <v/>
      </c>
      <c r="L75" s="2" t="n"/>
    </row>
    <row r="76">
      <c r="A76" s="14" t="n"/>
      <c r="B76" s="14" t="n"/>
      <c r="C76" s="15" t="n"/>
      <c r="D76" s="27" t="n"/>
      <c r="E76" s="27" t="n"/>
      <c r="F76" s="14" t="n"/>
      <c r="G76" s="14">
        <f>IF(OR(F76="Pago",E76="",E76&gt;=TODAY()),0,TODAY()-E76)</f>
        <v/>
      </c>
      <c r="H76" s="14">
        <f>IF(F76="Pago","Pago",IF(G76=0,"A vencer",IF(G76&lt;=30,"1-30",IF(G76&lt;=60,"31-60",IF(G76&lt;=90,"61-90","90+")))))</f>
        <v/>
      </c>
      <c r="I76" s="28">
        <f>IF(F76="Pago",1,IF(G76=0,0.97,IF(G76&lt;=30,0.9,IF(G76&lt;=60,0.72,IF(G76&lt;=90,0.5,0.25)))))</f>
        <v/>
      </c>
      <c r="J76" s="15">
        <f>IF(F76="Pago",0,IF(C76="",0,C76*I76))</f>
        <v/>
      </c>
      <c r="K76" s="14">
        <f>IF(F76="Pago","—",IF(G76=0,"Lembrete gentil",IF(G76&lt;=30,"Cobrar por telefone",IF(G76&lt;=60,"Negociar parcelamento",IF(G76&lt;=90,"Notificação formal","Escalar / jurídico")))))</f>
        <v/>
      </c>
      <c r="L76" s="2" t="n"/>
    </row>
    <row r="77">
      <c r="A77" s="14" t="n"/>
      <c r="B77" s="14" t="n"/>
      <c r="C77" s="15" t="n"/>
      <c r="D77" s="27" t="n"/>
      <c r="E77" s="27" t="n"/>
      <c r="F77" s="14" t="n"/>
      <c r="G77" s="14">
        <f>IF(OR(F77="Pago",E77="",E77&gt;=TODAY()),0,TODAY()-E77)</f>
        <v/>
      </c>
      <c r="H77" s="14">
        <f>IF(F77="Pago","Pago",IF(G77=0,"A vencer",IF(G77&lt;=30,"1-30",IF(G77&lt;=60,"31-60",IF(G77&lt;=90,"61-90","90+")))))</f>
        <v/>
      </c>
      <c r="I77" s="28">
        <f>IF(F77="Pago",1,IF(G77=0,0.97,IF(G77&lt;=30,0.9,IF(G77&lt;=60,0.72,IF(G77&lt;=90,0.5,0.25)))))</f>
        <v/>
      </c>
      <c r="J77" s="15">
        <f>IF(F77="Pago",0,IF(C77="",0,C77*I77))</f>
        <v/>
      </c>
      <c r="K77" s="14">
        <f>IF(F77="Pago","—",IF(G77=0,"Lembrete gentil",IF(G77&lt;=30,"Cobrar por telefone",IF(G77&lt;=60,"Negociar parcelamento",IF(G77&lt;=90,"Notificação formal","Escalar / jurídico")))))</f>
        <v/>
      </c>
      <c r="L77" s="2" t="n"/>
    </row>
    <row r="78">
      <c r="A78" s="14" t="n"/>
      <c r="B78" s="14" t="n"/>
      <c r="C78" s="15" t="n"/>
      <c r="D78" s="27" t="n"/>
      <c r="E78" s="27" t="n"/>
      <c r="F78" s="14" t="n"/>
      <c r="G78" s="14">
        <f>IF(OR(F78="Pago",E78="",E78&gt;=TODAY()),0,TODAY()-E78)</f>
        <v/>
      </c>
      <c r="H78" s="14">
        <f>IF(F78="Pago","Pago",IF(G78=0,"A vencer",IF(G78&lt;=30,"1-30",IF(G78&lt;=60,"31-60",IF(G78&lt;=90,"61-90","90+")))))</f>
        <v/>
      </c>
      <c r="I78" s="28">
        <f>IF(F78="Pago",1,IF(G78=0,0.97,IF(G78&lt;=30,0.9,IF(G78&lt;=60,0.72,IF(G78&lt;=90,0.5,0.25)))))</f>
        <v/>
      </c>
      <c r="J78" s="15">
        <f>IF(F78="Pago",0,IF(C78="",0,C78*I78))</f>
        <v/>
      </c>
      <c r="K78" s="14">
        <f>IF(F78="Pago","—",IF(G78=0,"Lembrete gentil",IF(G78&lt;=30,"Cobrar por telefone",IF(G78&lt;=60,"Negociar parcelamento",IF(G78&lt;=90,"Notificação formal","Escalar / jurídico")))))</f>
        <v/>
      </c>
      <c r="L78" s="2" t="n"/>
    </row>
    <row r="79">
      <c r="A79" s="14" t="n"/>
      <c r="B79" s="14" t="n"/>
      <c r="C79" s="15" t="n"/>
      <c r="D79" s="27" t="n"/>
      <c r="E79" s="27" t="n"/>
      <c r="F79" s="14" t="n"/>
      <c r="G79" s="14">
        <f>IF(OR(F79="Pago",E79="",E79&gt;=TODAY()),0,TODAY()-E79)</f>
        <v/>
      </c>
      <c r="H79" s="14">
        <f>IF(F79="Pago","Pago",IF(G79=0,"A vencer",IF(G79&lt;=30,"1-30",IF(G79&lt;=60,"31-60",IF(G79&lt;=90,"61-90","90+")))))</f>
        <v/>
      </c>
      <c r="I79" s="28">
        <f>IF(F79="Pago",1,IF(G79=0,0.97,IF(G79&lt;=30,0.9,IF(G79&lt;=60,0.72,IF(G79&lt;=90,0.5,0.25)))))</f>
        <v/>
      </c>
      <c r="J79" s="15">
        <f>IF(F79="Pago",0,IF(C79="",0,C79*I79))</f>
        <v/>
      </c>
      <c r="K79" s="14">
        <f>IF(F79="Pago","—",IF(G79=0,"Lembrete gentil",IF(G79&lt;=30,"Cobrar por telefone",IF(G79&lt;=60,"Negociar parcelamento",IF(G79&lt;=90,"Notificação formal","Escalar / jurídico")))))</f>
        <v/>
      </c>
      <c r="L79" s="2" t="n"/>
    </row>
    <row r="80">
      <c r="A80" s="14" t="n"/>
      <c r="B80" s="14" t="n"/>
      <c r="C80" s="15" t="n"/>
      <c r="D80" s="27" t="n"/>
      <c r="E80" s="27" t="n"/>
      <c r="F80" s="14" t="n"/>
      <c r="G80" s="14">
        <f>IF(OR(F80="Pago",E80="",E80&gt;=TODAY()),0,TODAY()-E80)</f>
        <v/>
      </c>
      <c r="H80" s="14">
        <f>IF(F80="Pago","Pago",IF(G80=0,"A vencer",IF(G80&lt;=30,"1-30",IF(G80&lt;=60,"31-60",IF(G80&lt;=90,"61-90","90+")))))</f>
        <v/>
      </c>
      <c r="I80" s="28">
        <f>IF(F80="Pago",1,IF(G80=0,0.97,IF(G80&lt;=30,0.9,IF(G80&lt;=60,0.72,IF(G80&lt;=90,0.5,0.25)))))</f>
        <v/>
      </c>
      <c r="J80" s="15">
        <f>IF(F80="Pago",0,IF(C80="",0,C80*I80))</f>
        <v/>
      </c>
      <c r="K80" s="14">
        <f>IF(F80="Pago","—",IF(G80=0,"Lembrete gentil",IF(G80&lt;=30,"Cobrar por telefone",IF(G80&lt;=60,"Negociar parcelamento",IF(G80&lt;=90,"Notificação formal","Escalar / jurídico")))))</f>
        <v/>
      </c>
      <c r="L80" s="2" t="n"/>
    </row>
    <row r="81">
      <c r="A81" s="14" t="n"/>
      <c r="B81" s="14" t="n"/>
      <c r="C81" s="15" t="n"/>
      <c r="D81" s="27" t="n"/>
      <c r="E81" s="27" t="n"/>
      <c r="F81" s="14" t="n"/>
      <c r="G81" s="14">
        <f>IF(OR(F81="Pago",E81="",E81&gt;=TODAY()),0,TODAY()-E81)</f>
        <v/>
      </c>
      <c r="H81" s="14">
        <f>IF(F81="Pago","Pago",IF(G81=0,"A vencer",IF(G81&lt;=30,"1-30",IF(G81&lt;=60,"31-60",IF(G81&lt;=90,"61-90","90+")))))</f>
        <v/>
      </c>
      <c r="I81" s="28">
        <f>IF(F81="Pago",1,IF(G81=0,0.97,IF(G81&lt;=30,0.9,IF(G81&lt;=60,0.72,IF(G81&lt;=90,0.5,0.25)))))</f>
        <v/>
      </c>
      <c r="J81" s="15">
        <f>IF(F81="Pago",0,IF(C81="",0,C81*I81))</f>
        <v/>
      </c>
      <c r="K81" s="14">
        <f>IF(F81="Pago","—",IF(G81=0,"Lembrete gentil",IF(G81&lt;=30,"Cobrar por telefone",IF(G81&lt;=60,"Negociar parcelamento",IF(G81&lt;=90,"Notificação formal","Escalar / jurídico")))))</f>
        <v/>
      </c>
      <c r="L81" s="2" t="n"/>
    </row>
    <row r="82">
      <c r="A82" s="14" t="n"/>
      <c r="B82" s="14" t="n"/>
      <c r="C82" s="15" t="n"/>
      <c r="D82" s="27" t="n"/>
      <c r="E82" s="27" t="n"/>
      <c r="F82" s="14" t="n"/>
      <c r="G82" s="14">
        <f>IF(OR(F82="Pago",E82="",E82&gt;=TODAY()),0,TODAY()-E82)</f>
        <v/>
      </c>
      <c r="H82" s="14">
        <f>IF(F82="Pago","Pago",IF(G82=0,"A vencer",IF(G82&lt;=30,"1-30",IF(G82&lt;=60,"31-60",IF(G82&lt;=90,"61-90","90+")))))</f>
        <v/>
      </c>
      <c r="I82" s="28">
        <f>IF(F82="Pago",1,IF(G82=0,0.97,IF(G82&lt;=30,0.9,IF(G82&lt;=60,0.72,IF(G82&lt;=90,0.5,0.25)))))</f>
        <v/>
      </c>
      <c r="J82" s="15">
        <f>IF(F82="Pago",0,IF(C82="",0,C82*I82))</f>
        <v/>
      </c>
      <c r="K82" s="14">
        <f>IF(F82="Pago","—",IF(G82=0,"Lembrete gentil",IF(G82&lt;=30,"Cobrar por telefone",IF(G82&lt;=60,"Negociar parcelamento",IF(G82&lt;=90,"Notificação formal","Escalar / jurídico")))))</f>
        <v/>
      </c>
      <c r="L82" s="2" t="n"/>
    </row>
    <row r="83">
      <c r="A83" s="14" t="n"/>
      <c r="B83" s="14" t="n"/>
      <c r="C83" s="15" t="n"/>
      <c r="D83" s="27" t="n"/>
      <c r="E83" s="27" t="n"/>
      <c r="F83" s="14" t="n"/>
      <c r="G83" s="14">
        <f>IF(OR(F83="Pago",E83="",E83&gt;=TODAY()),0,TODAY()-E83)</f>
        <v/>
      </c>
      <c r="H83" s="14">
        <f>IF(F83="Pago","Pago",IF(G83=0,"A vencer",IF(G83&lt;=30,"1-30",IF(G83&lt;=60,"31-60",IF(G83&lt;=90,"61-90","90+")))))</f>
        <v/>
      </c>
      <c r="I83" s="28">
        <f>IF(F83="Pago",1,IF(G83=0,0.97,IF(G83&lt;=30,0.9,IF(G83&lt;=60,0.72,IF(G83&lt;=90,0.5,0.25)))))</f>
        <v/>
      </c>
      <c r="J83" s="15">
        <f>IF(F83="Pago",0,IF(C83="",0,C83*I83))</f>
        <v/>
      </c>
      <c r="K83" s="14">
        <f>IF(F83="Pago","—",IF(G83=0,"Lembrete gentil",IF(G83&lt;=30,"Cobrar por telefone",IF(G83&lt;=60,"Negociar parcelamento",IF(G83&lt;=90,"Notificação formal","Escalar / jurídico")))))</f>
        <v/>
      </c>
      <c r="L83" s="2" t="n"/>
    </row>
    <row r="84">
      <c r="A84" s="14" t="n"/>
      <c r="B84" s="14" t="n"/>
      <c r="C84" s="15" t="n"/>
      <c r="D84" s="27" t="n"/>
      <c r="E84" s="27" t="n"/>
      <c r="F84" s="14" t="n"/>
      <c r="G84" s="14">
        <f>IF(OR(F84="Pago",E84="",E84&gt;=TODAY()),0,TODAY()-E84)</f>
        <v/>
      </c>
      <c r="H84" s="14">
        <f>IF(F84="Pago","Pago",IF(G84=0,"A vencer",IF(G84&lt;=30,"1-30",IF(G84&lt;=60,"31-60",IF(G84&lt;=90,"61-90","90+")))))</f>
        <v/>
      </c>
      <c r="I84" s="28">
        <f>IF(F84="Pago",1,IF(G84=0,0.97,IF(G84&lt;=30,0.9,IF(G84&lt;=60,0.72,IF(G84&lt;=90,0.5,0.25)))))</f>
        <v/>
      </c>
      <c r="J84" s="15">
        <f>IF(F84="Pago",0,IF(C84="",0,C84*I84))</f>
        <v/>
      </c>
      <c r="K84" s="14">
        <f>IF(F84="Pago","—",IF(G84=0,"Lembrete gentil",IF(G84&lt;=30,"Cobrar por telefone",IF(G84&lt;=60,"Negociar parcelamento",IF(G84&lt;=90,"Notificação formal","Escalar / jurídico")))))</f>
        <v/>
      </c>
      <c r="L84" s="2" t="n"/>
    </row>
    <row r="85">
      <c r="A85" s="14" t="n"/>
      <c r="B85" s="14" t="n"/>
      <c r="C85" s="15" t="n"/>
      <c r="D85" s="27" t="n"/>
      <c r="E85" s="27" t="n"/>
      <c r="F85" s="14" t="n"/>
      <c r="G85" s="14">
        <f>IF(OR(F85="Pago",E85="",E85&gt;=TODAY()),0,TODAY()-E85)</f>
        <v/>
      </c>
      <c r="H85" s="14">
        <f>IF(F85="Pago","Pago",IF(G85=0,"A vencer",IF(G85&lt;=30,"1-30",IF(G85&lt;=60,"31-60",IF(G85&lt;=90,"61-90","90+")))))</f>
        <v/>
      </c>
      <c r="I85" s="28">
        <f>IF(F85="Pago",1,IF(G85=0,0.97,IF(G85&lt;=30,0.9,IF(G85&lt;=60,0.72,IF(G85&lt;=90,0.5,0.25)))))</f>
        <v/>
      </c>
      <c r="J85" s="15">
        <f>IF(F85="Pago",0,IF(C85="",0,C85*I85))</f>
        <v/>
      </c>
      <c r="K85" s="14">
        <f>IF(F85="Pago","—",IF(G85=0,"Lembrete gentil",IF(G85&lt;=30,"Cobrar por telefone",IF(G85&lt;=60,"Negociar parcelamento",IF(G85&lt;=90,"Notificação formal","Escalar / jurídico")))))</f>
        <v/>
      </c>
      <c r="L85" s="2" t="n"/>
    </row>
    <row r="86">
      <c r="A86" s="14" t="n"/>
      <c r="B86" s="14" t="n"/>
      <c r="C86" s="15" t="n"/>
      <c r="D86" s="27" t="n"/>
      <c r="E86" s="27" t="n"/>
      <c r="F86" s="14" t="n"/>
      <c r="G86" s="14">
        <f>IF(OR(F86="Pago",E86="",E86&gt;=TODAY()),0,TODAY()-E86)</f>
        <v/>
      </c>
      <c r="H86" s="14">
        <f>IF(F86="Pago","Pago",IF(G86=0,"A vencer",IF(G86&lt;=30,"1-30",IF(G86&lt;=60,"31-60",IF(G86&lt;=90,"61-90","90+")))))</f>
        <v/>
      </c>
      <c r="I86" s="28">
        <f>IF(F86="Pago",1,IF(G86=0,0.97,IF(G86&lt;=30,0.9,IF(G86&lt;=60,0.72,IF(G86&lt;=90,0.5,0.25)))))</f>
        <v/>
      </c>
      <c r="J86" s="15">
        <f>IF(F86="Pago",0,IF(C86="",0,C86*I86))</f>
        <v/>
      </c>
      <c r="K86" s="14">
        <f>IF(F86="Pago","—",IF(G86=0,"Lembrete gentil",IF(G86&lt;=30,"Cobrar por telefone",IF(G86&lt;=60,"Negociar parcelamento",IF(G86&lt;=90,"Notificação formal","Escalar / jurídico")))))</f>
        <v/>
      </c>
      <c r="L86" s="2" t="n"/>
    </row>
    <row r="87">
      <c r="A87" s="14" t="n"/>
      <c r="B87" s="14" t="n"/>
      <c r="C87" s="15" t="n"/>
      <c r="D87" s="27" t="n"/>
      <c r="E87" s="27" t="n"/>
      <c r="F87" s="14" t="n"/>
      <c r="G87" s="14">
        <f>IF(OR(F87="Pago",E87="",E87&gt;=TODAY()),0,TODAY()-E87)</f>
        <v/>
      </c>
      <c r="H87" s="14">
        <f>IF(F87="Pago","Pago",IF(G87=0,"A vencer",IF(G87&lt;=30,"1-30",IF(G87&lt;=60,"31-60",IF(G87&lt;=90,"61-90","90+")))))</f>
        <v/>
      </c>
      <c r="I87" s="28">
        <f>IF(F87="Pago",1,IF(G87=0,0.97,IF(G87&lt;=30,0.9,IF(G87&lt;=60,0.72,IF(G87&lt;=90,0.5,0.25)))))</f>
        <v/>
      </c>
      <c r="J87" s="15">
        <f>IF(F87="Pago",0,IF(C87="",0,C87*I87))</f>
        <v/>
      </c>
      <c r="K87" s="14">
        <f>IF(F87="Pago","—",IF(G87=0,"Lembrete gentil",IF(G87&lt;=30,"Cobrar por telefone",IF(G87&lt;=60,"Negociar parcelamento",IF(G87&lt;=90,"Notificação formal","Escalar / jurídico")))))</f>
        <v/>
      </c>
      <c r="L87" s="2" t="n"/>
    </row>
    <row r="88">
      <c r="A88" s="14" t="n"/>
      <c r="B88" s="14" t="n"/>
      <c r="C88" s="15" t="n"/>
      <c r="D88" s="27" t="n"/>
      <c r="E88" s="27" t="n"/>
      <c r="F88" s="14" t="n"/>
      <c r="G88" s="14">
        <f>IF(OR(F88="Pago",E88="",E88&gt;=TODAY()),0,TODAY()-E88)</f>
        <v/>
      </c>
      <c r="H88" s="14">
        <f>IF(F88="Pago","Pago",IF(G88=0,"A vencer",IF(G88&lt;=30,"1-30",IF(G88&lt;=60,"31-60",IF(G88&lt;=90,"61-90","90+")))))</f>
        <v/>
      </c>
      <c r="I88" s="28">
        <f>IF(F88="Pago",1,IF(G88=0,0.97,IF(G88&lt;=30,0.9,IF(G88&lt;=60,0.72,IF(G88&lt;=90,0.5,0.25)))))</f>
        <v/>
      </c>
      <c r="J88" s="15">
        <f>IF(F88="Pago",0,IF(C88="",0,C88*I88))</f>
        <v/>
      </c>
      <c r="K88" s="14">
        <f>IF(F88="Pago","—",IF(G88=0,"Lembrete gentil",IF(G88&lt;=30,"Cobrar por telefone",IF(G88&lt;=60,"Negociar parcelamento",IF(G88&lt;=90,"Notificação formal","Escalar / jurídico")))))</f>
        <v/>
      </c>
      <c r="L88" s="2" t="n"/>
    </row>
    <row r="89">
      <c r="A89" s="14" t="n"/>
      <c r="B89" s="14" t="n"/>
      <c r="C89" s="15" t="n"/>
      <c r="D89" s="27" t="n"/>
      <c r="E89" s="27" t="n"/>
      <c r="F89" s="14" t="n"/>
      <c r="G89" s="14">
        <f>IF(OR(F89="Pago",E89="",E89&gt;=TODAY()),0,TODAY()-E89)</f>
        <v/>
      </c>
      <c r="H89" s="14">
        <f>IF(F89="Pago","Pago",IF(G89=0,"A vencer",IF(G89&lt;=30,"1-30",IF(G89&lt;=60,"31-60",IF(G89&lt;=90,"61-90","90+")))))</f>
        <v/>
      </c>
      <c r="I89" s="28">
        <f>IF(F89="Pago",1,IF(G89=0,0.97,IF(G89&lt;=30,0.9,IF(G89&lt;=60,0.72,IF(G89&lt;=90,0.5,0.25)))))</f>
        <v/>
      </c>
      <c r="J89" s="15">
        <f>IF(F89="Pago",0,IF(C89="",0,C89*I89))</f>
        <v/>
      </c>
      <c r="K89" s="14">
        <f>IF(F89="Pago","—",IF(G89=0,"Lembrete gentil",IF(G89&lt;=30,"Cobrar por telefone",IF(G89&lt;=60,"Negociar parcelamento",IF(G89&lt;=90,"Notificação formal","Escalar / jurídico")))))</f>
        <v/>
      </c>
      <c r="L89" s="2" t="n"/>
    </row>
    <row r="90">
      <c r="A90" s="14" t="n"/>
      <c r="B90" s="14" t="n"/>
      <c r="C90" s="15" t="n"/>
      <c r="D90" s="27" t="n"/>
      <c r="E90" s="27" t="n"/>
      <c r="F90" s="14" t="n"/>
      <c r="G90" s="14">
        <f>IF(OR(F90="Pago",E90="",E90&gt;=TODAY()),0,TODAY()-E90)</f>
        <v/>
      </c>
      <c r="H90" s="14">
        <f>IF(F90="Pago","Pago",IF(G90=0,"A vencer",IF(G90&lt;=30,"1-30",IF(G90&lt;=60,"31-60",IF(G90&lt;=90,"61-90","90+")))))</f>
        <v/>
      </c>
      <c r="I90" s="28">
        <f>IF(F90="Pago",1,IF(G90=0,0.97,IF(G90&lt;=30,0.9,IF(G90&lt;=60,0.72,IF(G90&lt;=90,0.5,0.25)))))</f>
        <v/>
      </c>
      <c r="J90" s="15">
        <f>IF(F90="Pago",0,IF(C90="",0,C90*I90))</f>
        <v/>
      </c>
      <c r="K90" s="14">
        <f>IF(F90="Pago","—",IF(G90=0,"Lembrete gentil",IF(G90&lt;=30,"Cobrar por telefone",IF(G90&lt;=60,"Negociar parcelamento",IF(G90&lt;=90,"Notificação formal","Escalar / jurídico")))))</f>
        <v/>
      </c>
      <c r="L90" s="2" t="n"/>
    </row>
    <row r="91">
      <c r="A91" s="14" t="n"/>
      <c r="B91" s="14" t="n"/>
      <c r="C91" s="15" t="n"/>
      <c r="D91" s="27" t="n"/>
      <c r="E91" s="27" t="n"/>
      <c r="F91" s="14" t="n"/>
      <c r="G91" s="14">
        <f>IF(OR(F91="Pago",E91="",E91&gt;=TODAY()),0,TODAY()-E91)</f>
        <v/>
      </c>
      <c r="H91" s="14">
        <f>IF(F91="Pago","Pago",IF(G91=0,"A vencer",IF(G91&lt;=30,"1-30",IF(G91&lt;=60,"31-60",IF(G91&lt;=90,"61-90","90+")))))</f>
        <v/>
      </c>
      <c r="I91" s="28">
        <f>IF(F91="Pago",1,IF(G91=0,0.97,IF(G91&lt;=30,0.9,IF(G91&lt;=60,0.72,IF(G91&lt;=90,0.5,0.25)))))</f>
        <v/>
      </c>
      <c r="J91" s="15">
        <f>IF(F91="Pago",0,IF(C91="",0,C91*I91))</f>
        <v/>
      </c>
      <c r="K91" s="14">
        <f>IF(F91="Pago","—",IF(G91=0,"Lembrete gentil",IF(G91&lt;=30,"Cobrar por telefone",IF(G91&lt;=60,"Negociar parcelamento",IF(G91&lt;=90,"Notificação formal","Escalar / jurídico")))))</f>
        <v/>
      </c>
      <c r="L91" s="2" t="n"/>
    </row>
    <row r="92">
      <c r="A92" s="14" t="n"/>
      <c r="B92" s="14" t="n"/>
      <c r="C92" s="15" t="n"/>
      <c r="D92" s="27" t="n"/>
      <c r="E92" s="27" t="n"/>
      <c r="F92" s="14" t="n"/>
      <c r="G92" s="14">
        <f>IF(OR(F92="Pago",E92="",E92&gt;=TODAY()),0,TODAY()-E92)</f>
        <v/>
      </c>
      <c r="H92" s="14">
        <f>IF(F92="Pago","Pago",IF(G92=0,"A vencer",IF(G92&lt;=30,"1-30",IF(G92&lt;=60,"31-60",IF(G92&lt;=90,"61-90","90+")))))</f>
        <v/>
      </c>
      <c r="I92" s="28">
        <f>IF(F92="Pago",1,IF(G92=0,0.97,IF(G92&lt;=30,0.9,IF(G92&lt;=60,0.72,IF(G92&lt;=90,0.5,0.25)))))</f>
        <v/>
      </c>
      <c r="J92" s="15">
        <f>IF(F92="Pago",0,IF(C92="",0,C92*I92))</f>
        <v/>
      </c>
      <c r="K92" s="14">
        <f>IF(F92="Pago","—",IF(G92=0,"Lembrete gentil",IF(G92&lt;=30,"Cobrar por telefone",IF(G92&lt;=60,"Negociar parcelamento",IF(G92&lt;=90,"Notificação formal","Escalar / jurídico")))))</f>
        <v/>
      </c>
      <c r="L92" s="2" t="n"/>
    </row>
    <row r="93">
      <c r="A93" s="14" t="n"/>
      <c r="B93" s="14" t="n"/>
      <c r="C93" s="15" t="n"/>
      <c r="D93" s="27" t="n"/>
      <c r="E93" s="27" t="n"/>
      <c r="F93" s="14" t="n"/>
      <c r="G93" s="14">
        <f>IF(OR(F93="Pago",E93="",E93&gt;=TODAY()),0,TODAY()-E93)</f>
        <v/>
      </c>
      <c r="H93" s="14">
        <f>IF(F93="Pago","Pago",IF(G93=0,"A vencer",IF(G93&lt;=30,"1-30",IF(G93&lt;=60,"31-60",IF(G93&lt;=90,"61-90","90+")))))</f>
        <v/>
      </c>
      <c r="I93" s="28">
        <f>IF(F93="Pago",1,IF(G93=0,0.97,IF(G93&lt;=30,0.9,IF(G93&lt;=60,0.72,IF(G93&lt;=90,0.5,0.25)))))</f>
        <v/>
      </c>
      <c r="J93" s="15">
        <f>IF(F93="Pago",0,IF(C93="",0,C93*I93))</f>
        <v/>
      </c>
      <c r="K93" s="14">
        <f>IF(F93="Pago","—",IF(G93=0,"Lembrete gentil",IF(G93&lt;=30,"Cobrar por telefone",IF(G93&lt;=60,"Negociar parcelamento",IF(G93&lt;=90,"Notificação formal","Escalar / jurídico")))))</f>
        <v/>
      </c>
      <c r="L93" s="2" t="n"/>
    </row>
    <row r="94">
      <c r="A94" s="14" t="n"/>
      <c r="B94" s="14" t="n"/>
      <c r="C94" s="15" t="n"/>
      <c r="D94" s="27" t="n"/>
      <c r="E94" s="27" t="n"/>
      <c r="F94" s="14" t="n"/>
      <c r="G94" s="14">
        <f>IF(OR(F94="Pago",E94="",E94&gt;=TODAY()),0,TODAY()-E94)</f>
        <v/>
      </c>
      <c r="H94" s="14">
        <f>IF(F94="Pago","Pago",IF(G94=0,"A vencer",IF(G94&lt;=30,"1-30",IF(G94&lt;=60,"31-60",IF(G94&lt;=90,"61-90","90+")))))</f>
        <v/>
      </c>
      <c r="I94" s="28">
        <f>IF(F94="Pago",1,IF(G94=0,0.97,IF(G94&lt;=30,0.9,IF(G94&lt;=60,0.72,IF(G94&lt;=90,0.5,0.25)))))</f>
        <v/>
      </c>
      <c r="J94" s="15">
        <f>IF(F94="Pago",0,IF(C94="",0,C94*I94))</f>
        <v/>
      </c>
      <c r="K94" s="14">
        <f>IF(F94="Pago","—",IF(G94=0,"Lembrete gentil",IF(G94&lt;=30,"Cobrar por telefone",IF(G94&lt;=60,"Negociar parcelamento",IF(G94&lt;=90,"Notificação formal","Escalar / jurídico")))))</f>
        <v/>
      </c>
      <c r="L94" s="2" t="n"/>
    </row>
    <row r="95">
      <c r="A95" s="14" t="n"/>
      <c r="B95" s="14" t="n"/>
      <c r="C95" s="15" t="n"/>
      <c r="D95" s="27" t="n"/>
      <c r="E95" s="27" t="n"/>
      <c r="F95" s="14" t="n"/>
      <c r="G95" s="14">
        <f>IF(OR(F95="Pago",E95="",E95&gt;=TODAY()),0,TODAY()-E95)</f>
        <v/>
      </c>
      <c r="H95" s="14">
        <f>IF(F95="Pago","Pago",IF(G95=0,"A vencer",IF(G95&lt;=30,"1-30",IF(G95&lt;=60,"31-60",IF(G95&lt;=90,"61-90","90+")))))</f>
        <v/>
      </c>
      <c r="I95" s="28">
        <f>IF(F95="Pago",1,IF(G95=0,0.97,IF(G95&lt;=30,0.9,IF(G95&lt;=60,0.72,IF(G95&lt;=90,0.5,0.25)))))</f>
        <v/>
      </c>
      <c r="J95" s="15">
        <f>IF(F95="Pago",0,IF(C95="",0,C95*I95))</f>
        <v/>
      </c>
      <c r="K95" s="14">
        <f>IF(F95="Pago","—",IF(G95=0,"Lembrete gentil",IF(G95&lt;=30,"Cobrar por telefone",IF(G95&lt;=60,"Negociar parcelamento",IF(G95&lt;=90,"Notificação formal","Escalar / jurídico")))))</f>
        <v/>
      </c>
      <c r="L95" s="2" t="n"/>
    </row>
    <row r="96">
      <c r="A96" s="14" t="n"/>
      <c r="B96" s="14" t="n"/>
      <c r="C96" s="15" t="n"/>
      <c r="D96" s="27" t="n"/>
      <c r="E96" s="27" t="n"/>
      <c r="F96" s="14" t="n"/>
      <c r="G96" s="14">
        <f>IF(OR(F96="Pago",E96="",E96&gt;=TODAY()),0,TODAY()-E96)</f>
        <v/>
      </c>
      <c r="H96" s="14">
        <f>IF(F96="Pago","Pago",IF(G96=0,"A vencer",IF(G96&lt;=30,"1-30",IF(G96&lt;=60,"31-60",IF(G96&lt;=90,"61-90","90+")))))</f>
        <v/>
      </c>
      <c r="I96" s="28">
        <f>IF(F96="Pago",1,IF(G96=0,0.97,IF(G96&lt;=30,0.9,IF(G96&lt;=60,0.72,IF(G96&lt;=90,0.5,0.25)))))</f>
        <v/>
      </c>
      <c r="J96" s="15">
        <f>IF(F96="Pago",0,IF(C96="",0,C96*I96))</f>
        <v/>
      </c>
      <c r="K96" s="14">
        <f>IF(F96="Pago","—",IF(G96=0,"Lembrete gentil",IF(G96&lt;=30,"Cobrar por telefone",IF(G96&lt;=60,"Negociar parcelamento",IF(G96&lt;=90,"Notificação formal","Escalar / jurídico")))))</f>
        <v/>
      </c>
      <c r="L96" s="2" t="n"/>
    </row>
    <row r="97">
      <c r="A97" s="14" t="n"/>
      <c r="B97" s="14" t="n"/>
      <c r="C97" s="15" t="n"/>
      <c r="D97" s="27" t="n"/>
      <c r="E97" s="27" t="n"/>
      <c r="F97" s="14" t="n"/>
      <c r="G97" s="14">
        <f>IF(OR(F97="Pago",E97="",E97&gt;=TODAY()),0,TODAY()-E97)</f>
        <v/>
      </c>
      <c r="H97" s="14">
        <f>IF(F97="Pago","Pago",IF(G97=0,"A vencer",IF(G97&lt;=30,"1-30",IF(G97&lt;=60,"31-60",IF(G97&lt;=90,"61-90","90+")))))</f>
        <v/>
      </c>
      <c r="I97" s="28">
        <f>IF(F97="Pago",1,IF(G97=0,0.97,IF(G97&lt;=30,0.9,IF(G97&lt;=60,0.72,IF(G97&lt;=90,0.5,0.25)))))</f>
        <v/>
      </c>
      <c r="J97" s="15">
        <f>IF(F97="Pago",0,IF(C97="",0,C97*I97))</f>
        <v/>
      </c>
      <c r="K97" s="14">
        <f>IF(F97="Pago","—",IF(G97=0,"Lembrete gentil",IF(G97&lt;=30,"Cobrar por telefone",IF(G97&lt;=60,"Negociar parcelamento",IF(G97&lt;=90,"Notificação formal","Escalar / jurídico")))))</f>
        <v/>
      </c>
      <c r="L97" s="2" t="n"/>
    </row>
    <row r="98">
      <c r="A98" s="14" t="n"/>
      <c r="B98" s="14" t="n"/>
      <c r="C98" s="15" t="n"/>
      <c r="D98" s="27" t="n"/>
      <c r="E98" s="27" t="n"/>
      <c r="F98" s="14" t="n"/>
      <c r="G98" s="14">
        <f>IF(OR(F98="Pago",E98="",E98&gt;=TODAY()),0,TODAY()-E98)</f>
        <v/>
      </c>
      <c r="H98" s="14">
        <f>IF(F98="Pago","Pago",IF(G98=0,"A vencer",IF(G98&lt;=30,"1-30",IF(G98&lt;=60,"31-60",IF(G98&lt;=90,"61-90","90+")))))</f>
        <v/>
      </c>
      <c r="I98" s="28">
        <f>IF(F98="Pago",1,IF(G98=0,0.97,IF(G98&lt;=30,0.9,IF(G98&lt;=60,0.72,IF(G98&lt;=90,0.5,0.25)))))</f>
        <v/>
      </c>
      <c r="J98" s="15">
        <f>IF(F98="Pago",0,IF(C98="",0,C98*I98))</f>
        <v/>
      </c>
      <c r="K98" s="14">
        <f>IF(F98="Pago","—",IF(G98=0,"Lembrete gentil",IF(G98&lt;=30,"Cobrar por telefone",IF(G98&lt;=60,"Negociar parcelamento",IF(G98&lt;=90,"Notificação formal","Escalar / jurídico")))))</f>
        <v/>
      </c>
      <c r="L98" s="2" t="n"/>
    </row>
    <row r="99">
      <c r="A99" s="14" t="n"/>
      <c r="B99" s="14" t="n"/>
      <c r="C99" s="15" t="n"/>
      <c r="D99" s="27" t="n"/>
      <c r="E99" s="27" t="n"/>
      <c r="F99" s="14" t="n"/>
      <c r="G99" s="14">
        <f>IF(OR(F99="Pago",E99="",E99&gt;=TODAY()),0,TODAY()-E99)</f>
        <v/>
      </c>
      <c r="H99" s="14">
        <f>IF(F99="Pago","Pago",IF(G99=0,"A vencer",IF(G99&lt;=30,"1-30",IF(G99&lt;=60,"31-60",IF(G99&lt;=90,"61-90","90+")))))</f>
        <v/>
      </c>
      <c r="I99" s="28">
        <f>IF(F99="Pago",1,IF(G99=0,0.97,IF(G99&lt;=30,0.9,IF(G99&lt;=60,0.72,IF(G99&lt;=90,0.5,0.25)))))</f>
        <v/>
      </c>
      <c r="J99" s="15">
        <f>IF(F99="Pago",0,IF(C99="",0,C99*I99))</f>
        <v/>
      </c>
      <c r="K99" s="14">
        <f>IF(F99="Pago","—",IF(G99=0,"Lembrete gentil",IF(G99&lt;=30,"Cobrar por telefone",IF(G99&lt;=60,"Negociar parcelamento",IF(G99&lt;=90,"Notificação formal","Escalar / jurídico")))))</f>
        <v/>
      </c>
      <c r="L99" s="2" t="n"/>
    </row>
    <row r="100">
      <c r="A100" s="14" t="n"/>
      <c r="B100" s="14" t="n"/>
      <c r="C100" s="15" t="n"/>
      <c r="D100" s="27" t="n"/>
      <c r="E100" s="27" t="n"/>
      <c r="F100" s="14" t="n"/>
      <c r="G100" s="14">
        <f>IF(OR(F100="Pago",E100="",E100&gt;=TODAY()),0,TODAY()-E100)</f>
        <v/>
      </c>
      <c r="H100" s="14">
        <f>IF(F100="Pago","Pago",IF(G100=0,"A vencer",IF(G100&lt;=30,"1-30",IF(G100&lt;=60,"31-60",IF(G100&lt;=90,"61-90","90+")))))</f>
        <v/>
      </c>
      <c r="I100" s="28">
        <f>IF(F100="Pago",1,IF(G100=0,0.97,IF(G100&lt;=30,0.9,IF(G100&lt;=60,0.72,IF(G100&lt;=90,0.5,0.25)))))</f>
        <v/>
      </c>
      <c r="J100" s="15">
        <f>IF(F100="Pago",0,IF(C100="",0,C100*I100))</f>
        <v/>
      </c>
      <c r="K100" s="14">
        <f>IF(F100="Pago","—",IF(G100=0,"Lembrete gentil",IF(G100&lt;=30,"Cobrar por telefone",IF(G100&lt;=60,"Negociar parcelamento",IF(G100&lt;=90,"Notificação formal","Escalar / jurídico")))))</f>
        <v/>
      </c>
      <c r="L100" s="2" t="n"/>
    </row>
    <row r="101">
      <c r="A101" s="14" t="n"/>
      <c r="B101" s="14" t="n"/>
      <c r="C101" s="15" t="n"/>
      <c r="D101" s="27" t="n"/>
      <c r="E101" s="27" t="n"/>
      <c r="F101" s="14" t="n"/>
      <c r="G101" s="14">
        <f>IF(OR(F101="Pago",E101="",E101&gt;=TODAY()),0,TODAY()-E101)</f>
        <v/>
      </c>
      <c r="H101" s="14">
        <f>IF(F101="Pago","Pago",IF(G101=0,"A vencer",IF(G101&lt;=30,"1-30",IF(G101&lt;=60,"31-60",IF(G101&lt;=90,"61-90","90+")))))</f>
        <v/>
      </c>
      <c r="I101" s="28">
        <f>IF(F101="Pago",1,IF(G101=0,0.97,IF(G101&lt;=30,0.9,IF(G101&lt;=60,0.72,IF(G101&lt;=90,0.5,0.25)))))</f>
        <v/>
      </c>
      <c r="J101" s="15">
        <f>IF(F101="Pago",0,IF(C101="",0,C101*I101))</f>
        <v/>
      </c>
      <c r="K101" s="14">
        <f>IF(F101="Pago","—",IF(G101=0,"Lembrete gentil",IF(G101&lt;=30,"Cobrar por telefone",IF(G101&lt;=60,"Negociar parcelamento",IF(G101&lt;=90,"Notificação formal","Escalar / jurídico")))))</f>
        <v/>
      </c>
      <c r="L101" s="2" t="n"/>
    </row>
    <row r="102">
      <c r="A102" s="14" t="n"/>
      <c r="B102" s="14" t="n"/>
      <c r="C102" s="15" t="n"/>
      <c r="D102" s="27" t="n"/>
      <c r="E102" s="27" t="n"/>
      <c r="F102" s="14" t="n"/>
      <c r="G102" s="14">
        <f>IF(OR(F102="Pago",E102="",E102&gt;=TODAY()),0,TODAY()-E102)</f>
        <v/>
      </c>
      <c r="H102" s="14">
        <f>IF(F102="Pago","Pago",IF(G102=0,"A vencer",IF(G102&lt;=30,"1-30",IF(G102&lt;=60,"31-60",IF(G102&lt;=90,"61-90","90+")))))</f>
        <v/>
      </c>
      <c r="I102" s="28">
        <f>IF(F102="Pago",1,IF(G102=0,0.97,IF(G102&lt;=30,0.9,IF(G102&lt;=60,0.72,IF(G102&lt;=90,0.5,0.25)))))</f>
        <v/>
      </c>
      <c r="J102" s="15">
        <f>IF(F102="Pago",0,IF(C102="",0,C102*I102))</f>
        <v/>
      </c>
      <c r="K102" s="14">
        <f>IF(F102="Pago","—",IF(G102=0,"Lembrete gentil",IF(G102&lt;=30,"Cobrar por telefone",IF(G102&lt;=60,"Negociar parcelamento",IF(G102&lt;=90,"Notificação formal","Escalar / jurídico")))))</f>
        <v/>
      </c>
      <c r="L102" s="2" t="n"/>
    </row>
    <row r="103">
      <c r="A103" s="14" t="n"/>
      <c r="B103" s="14" t="n"/>
      <c r="C103" s="15" t="n"/>
      <c r="D103" s="27" t="n"/>
      <c r="E103" s="27" t="n"/>
      <c r="F103" s="14" t="n"/>
      <c r="G103" s="14">
        <f>IF(OR(F103="Pago",E103="",E103&gt;=TODAY()),0,TODAY()-E103)</f>
        <v/>
      </c>
      <c r="H103" s="14">
        <f>IF(F103="Pago","Pago",IF(G103=0,"A vencer",IF(G103&lt;=30,"1-30",IF(G103&lt;=60,"31-60",IF(G103&lt;=90,"61-90","90+")))))</f>
        <v/>
      </c>
      <c r="I103" s="28">
        <f>IF(F103="Pago",1,IF(G103=0,0.97,IF(G103&lt;=30,0.9,IF(G103&lt;=60,0.72,IF(G103&lt;=90,0.5,0.25)))))</f>
        <v/>
      </c>
      <c r="J103" s="15">
        <f>IF(F103="Pago",0,IF(C103="",0,C103*I103))</f>
        <v/>
      </c>
      <c r="K103" s="14">
        <f>IF(F103="Pago","—",IF(G103=0,"Lembrete gentil",IF(G103&lt;=30,"Cobrar por telefone",IF(G103&lt;=60,"Negociar parcelamento",IF(G103&lt;=90,"Notificação formal","Escalar / jurídico")))))</f>
        <v/>
      </c>
      <c r="L103" s="2" t="n"/>
    </row>
    <row r="104">
      <c r="A104" s="14" t="n"/>
      <c r="B104" s="14" t="n"/>
      <c r="C104" s="15" t="n"/>
      <c r="D104" s="27" t="n"/>
      <c r="E104" s="27" t="n"/>
      <c r="F104" s="14" t="n"/>
      <c r="G104" s="14">
        <f>IF(OR(F104="Pago",E104="",E104&gt;=TODAY()),0,TODAY()-E104)</f>
        <v/>
      </c>
      <c r="H104" s="14">
        <f>IF(F104="Pago","Pago",IF(G104=0,"A vencer",IF(G104&lt;=30,"1-30",IF(G104&lt;=60,"31-60",IF(G104&lt;=90,"61-90","90+")))))</f>
        <v/>
      </c>
      <c r="I104" s="28">
        <f>IF(F104="Pago",1,IF(G104=0,0.97,IF(G104&lt;=30,0.9,IF(G104&lt;=60,0.72,IF(G104&lt;=90,0.5,0.25)))))</f>
        <v/>
      </c>
      <c r="J104" s="15">
        <f>IF(F104="Pago",0,IF(C104="",0,C104*I104))</f>
        <v/>
      </c>
      <c r="K104" s="14">
        <f>IF(F104="Pago","—",IF(G104=0,"Lembrete gentil",IF(G104&lt;=30,"Cobrar por telefone",IF(G104&lt;=60,"Negociar parcelamento",IF(G104&lt;=90,"Notificação formal","Escalar / jurídico")))))</f>
        <v/>
      </c>
      <c r="L104" s="2" t="n"/>
    </row>
    <row r="105">
      <c r="A105" s="14" t="n"/>
      <c r="B105" s="14" t="n"/>
      <c r="C105" s="15" t="n"/>
      <c r="D105" s="27" t="n"/>
      <c r="E105" s="27" t="n"/>
      <c r="F105" s="14" t="n"/>
      <c r="G105" s="14">
        <f>IF(OR(F105="Pago",E105="",E105&gt;=TODAY()),0,TODAY()-E105)</f>
        <v/>
      </c>
      <c r="H105" s="14">
        <f>IF(F105="Pago","Pago",IF(G105=0,"A vencer",IF(G105&lt;=30,"1-30",IF(G105&lt;=60,"31-60",IF(G105&lt;=90,"61-90","90+")))))</f>
        <v/>
      </c>
      <c r="I105" s="28">
        <f>IF(F105="Pago",1,IF(G105=0,0.97,IF(G105&lt;=30,0.9,IF(G105&lt;=60,0.72,IF(G105&lt;=90,0.5,0.25)))))</f>
        <v/>
      </c>
      <c r="J105" s="15">
        <f>IF(F105="Pago",0,IF(C105="",0,C105*I105))</f>
        <v/>
      </c>
      <c r="K105" s="14">
        <f>IF(F105="Pago","—",IF(G105=0,"Lembrete gentil",IF(G105&lt;=30,"Cobrar por telefone",IF(G105&lt;=60,"Negociar parcelamento",IF(G105&lt;=90,"Notificação formal","Escalar / jurídico")))))</f>
        <v/>
      </c>
      <c r="L105" s="2" t="n"/>
    </row>
    <row r="106">
      <c r="A106" s="14" t="n"/>
      <c r="B106" s="14" t="n"/>
      <c r="C106" s="15" t="n"/>
      <c r="D106" s="27" t="n"/>
      <c r="E106" s="27" t="n"/>
      <c r="F106" s="14" t="n"/>
      <c r="G106" s="14">
        <f>IF(OR(F106="Pago",E106="",E106&gt;=TODAY()),0,TODAY()-E106)</f>
        <v/>
      </c>
      <c r="H106" s="14">
        <f>IF(F106="Pago","Pago",IF(G106=0,"A vencer",IF(G106&lt;=30,"1-30",IF(G106&lt;=60,"31-60",IF(G106&lt;=90,"61-90","90+")))))</f>
        <v/>
      </c>
      <c r="I106" s="28">
        <f>IF(F106="Pago",1,IF(G106=0,0.97,IF(G106&lt;=30,0.9,IF(G106&lt;=60,0.72,IF(G106&lt;=90,0.5,0.25)))))</f>
        <v/>
      </c>
      <c r="J106" s="15">
        <f>IF(F106="Pago",0,IF(C106="",0,C106*I106))</f>
        <v/>
      </c>
      <c r="K106" s="14">
        <f>IF(F106="Pago","—",IF(G106=0,"Lembrete gentil",IF(G106&lt;=30,"Cobrar por telefone",IF(G106&lt;=60,"Negociar parcelamento",IF(G106&lt;=90,"Notificação formal","Escalar / jurídico")))))</f>
        <v/>
      </c>
      <c r="L106" s="2" t="n"/>
    </row>
    <row r="107">
      <c r="A107" s="14" t="n"/>
      <c r="B107" s="14" t="n"/>
      <c r="C107" s="15" t="n"/>
      <c r="D107" s="27" t="n"/>
      <c r="E107" s="27" t="n"/>
      <c r="F107" s="14" t="n"/>
      <c r="G107" s="14">
        <f>IF(OR(F107="Pago",E107="",E107&gt;=TODAY()),0,TODAY()-E107)</f>
        <v/>
      </c>
      <c r="H107" s="14">
        <f>IF(F107="Pago","Pago",IF(G107=0,"A vencer",IF(G107&lt;=30,"1-30",IF(G107&lt;=60,"31-60",IF(G107&lt;=90,"61-90","90+")))))</f>
        <v/>
      </c>
      <c r="I107" s="28">
        <f>IF(F107="Pago",1,IF(G107=0,0.97,IF(G107&lt;=30,0.9,IF(G107&lt;=60,0.72,IF(G107&lt;=90,0.5,0.25)))))</f>
        <v/>
      </c>
      <c r="J107" s="15">
        <f>IF(F107="Pago",0,IF(C107="",0,C107*I107))</f>
        <v/>
      </c>
      <c r="K107" s="14">
        <f>IF(F107="Pago","—",IF(G107=0,"Lembrete gentil",IF(G107&lt;=30,"Cobrar por telefone",IF(G107&lt;=60,"Negociar parcelamento",IF(G107&lt;=90,"Notificação formal","Escalar / jurídico")))))</f>
        <v/>
      </c>
      <c r="L107" s="2" t="n"/>
    </row>
    <row r="108">
      <c r="A108" s="14" t="n"/>
      <c r="B108" s="14" t="n"/>
      <c r="C108" s="15" t="n"/>
      <c r="D108" s="27" t="n"/>
      <c r="E108" s="27" t="n"/>
      <c r="F108" s="14" t="n"/>
      <c r="G108" s="14">
        <f>IF(OR(F108="Pago",E108="",E108&gt;=TODAY()),0,TODAY()-E108)</f>
        <v/>
      </c>
      <c r="H108" s="14">
        <f>IF(F108="Pago","Pago",IF(G108=0,"A vencer",IF(G108&lt;=30,"1-30",IF(G108&lt;=60,"31-60",IF(G108&lt;=90,"61-90","90+")))))</f>
        <v/>
      </c>
      <c r="I108" s="28">
        <f>IF(F108="Pago",1,IF(G108=0,0.97,IF(G108&lt;=30,0.9,IF(G108&lt;=60,0.72,IF(G108&lt;=90,0.5,0.25)))))</f>
        <v/>
      </c>
      <c r="J108" s="15">
        <f>IF(F108="Pago",0,IF(C108="",0,C108*I108))</f>
        <v/>
      </c>
      <c r="K108" s="14">
        <f>IF(F108="Pago","—",IF(G108=0,"Lembrete gentil",IF(G108&lt;=30,"Cobrar por telefone",IF(G108&lt;=60,"Negociar parcelamento",IF(G108&lt;=90,"Notificação formal","Escalar / jurídico")))))</f>
        <v/>
      </c>
      <c r="L108" s="2" t="n"/>
    </row>
    <row r="109">
      <c r="A109" s="14" t="n"/>
      <c r="B109" s="14" t="n"/>
      <c r="C109" s="15" t="n"/>
      <c r="D109" s="27" t="n"/>
      <c r="E109" s="27" t="n"/>
      <c r="F109" s="14" t="n"/>
      <c r="G109" s="14">
        <f>IF(OR(F109="Pago",E109="",E109&gt;=TODAY()),0,TODAY()-E109)</f>
        <v/>
      </c>
      <c r="H109" s="14">
        <f>IF(F109="Pago","Pago",IF(G109=0,"A vencer",IF(G109&lt;=30,"1-30",IF(G109&lt;=60,"31-60",IF(G109&lt;=90,"61-90","90+")))))</f>
        <v/>
      </c>
      <c r="I109" s="28">
        <f>IF(F109="Pago",1,IF(G109=0,0.97,IF(G109&lt;=30,0.9,IF(G109&lt;=60,0.72,IF(G109&lt;=90,0.5,0.25)))))</f>
        <v/>
      </c>
      <c r="J109" s="15">
        <f>IF(F109="Pago",0,IF(C109="",0,C109*I109))</f>
        <v/>
      </c>
      <c r="K109" s="14">
        <f>IF(F109="Pago","—",IF(G109=0,"Lembrete gentil",IF(G109&lt;=30,"Cobrar por telefone",IF(G109&lt;=60,"Negociar parcelamento",IF(G109&lt;=90,"Notificação formal","Escalar / jurídico")))))</f>
        <v/>
      </c>
      <c r="L109" s="2" t="n"/>
    </row>
    <row r="110">
      <c r="A110" s="14" t="n"/>
      <c r="B110" s="14" t="n"/>
      <c r="C110" s="15" t="n"/>
      <c r="D110" s="27" t="n"/>
      <c r="E110" s="27" t="n"/>
      <c r="F110" s="14" t="n"/>
      <c r="G110" s="14">
        <f>IF(OR(F110="Pago",E110="",E110&gt;=TODAY()),0,TODAY()-E110)</f>
        <v/>
      </c>
      <c r="H110" s="14">
        <f>IF(F110="Pago","Pago",IF(G110=0,"A vencer",IF(G110&lt;=30,"1-30",IF(G110&lt;=60,"31-60",IF(G110&lt;=90,"61-90","90+")))))</f>
        <v/>
      </c>
      <c r="I110" s="28">
        <f>IF(F110="Pago",1,IF(G110=0,0.97,IF(G110&lt;=30,0.9,IF(G110&lt;=60,0.72,IF(G110&lt;=90,0.5,0.25)))))</f>
        <v/>
      </c>
      <c r="J110" s="15">
        <f>IF(F110="Pago",0,IF(C110="",0,C110*I110))</f>
        <v/>
      </c>
      <c r="K110" s="14">
        <f>IF(F110="Pago","—",IF(G110=0,"Lembrete gentil",IF(G110&lt;=30,"Cobrar por telefone",IF(G110&lt;=60,"Negociar parcelamento",IF(G110&lt;=90,"Notificação formal","Escalar / jurídico")))))</f>
        <v/>
      </c>
      <c r="L110" s="2" t="n"/>
    </row>
    <row r="111">
      <c r="A111" s="14" t="n"/>
      <c r="B111" s="14" t="n"/>
      <c r="C111" s="15" t="n"/>
      <c r="D111" s="27" t="n"/>
      <c r="E111" s="27" t="n"/>
      <c r="F111" s="14" t="n"/>
      <c r="G111" s="14">
        <f>IF(OR(F111="Pago",E111="",E111&gt;=TODAY()),0,TODAY()-E111)</f>
        <v/>
      </c>
      <c r="H111" s="14">
        <f>IF(F111="Pago","Pago",IF(G111=0,"A vencer",IF(G111&lt;=30,"1-30",IF(G111&lt;=60,"31-60",IF(G111&lt;=90,"61-90","90+")))))</f>
        <v/>
      </c>
      <c r="I111" s="28">
        <f>IF(F111="Pago",1,IF(G111=0,0.97,IF(G111&lt;=30,0.9,IF(G111&lt;=60,0.72,IF(G111&lt;=90,0.5,0.25)))))</f>
        <v/>
      </c>
      <c r="J111" s="15">
        <f>IF(F111="Pago",0,IF(C111="",0,C111*I111))</f>
        <v/>
      </c>
      <c r="K111" s="14">
        <f>IF(F111="Pago","—",IF(G111=0,"Lembrete gentil",IF(G111&lt;=30,"Cobrar por telefone",IF(G111&lt;=60,"Negociar parcelamento",IF(G111&lt;=90,"Notificação formal","Escalar / jurídico")))))</f>
        <v/>
      </c>
      <c r="L111" s="2" t="n"/>
    </row>
    <row r="112">
      <c r="A112" s="14" t="n"/>
      <c r="B112" s="14" t="n"/>
      <c r="C112" s="15" t="n"/>
      <c r="D112" s="27" t="n"/>
      <c r="E112" s="27" t="n"/>
      <c r="F112" s="14" t="n"/>
      <c r="G112" s="14">
        <f>IF(OR(F112="Pago",E112="",E112&gt;=TODAY()),0,TODAY()-E112)</f>
        <v/>
      </c>
      <c r="H112" s="14">
        <f>IF(F112="Pago","Pago",IF(G112=0,"A vencer",IF(G112&lt;=30,"1-30",IF(G112&lt;=60,"31-60",IF(G112&lt;=90,"61-90","90+")))))</f>
        <v/>
      </c>
      <c r="I112" s="28">
        <f>IF(F112="Pago",1,IF(G112=0,0.97,IF(G112&lt;=30,0.9,IF(G112&lt;=60,0.72,IF(G112&lt;=90,0.5,0.25)))))</f>
        <v/>
      </c>
      <c r="J112" s="15">
        <f>IF(F112="Pago",0,IF(C112="",0,C112*I112))</f>
        <v/>
      </c>
      <c r="K112" s="14">
        <f>IF(F112="Pago","—",IF(G112=0,"Lembrete gentil",IF(G112&lt;=30,"Cobrar por telefone",IF(G112&lt;=60,"Negociar parcelamento",IF(G112&lt;=90,"Notificação formal","Escalar / jurídico")))))</f>
        <v/>
      </c>
      <c r="L112" s="2" t="n"/>
    </row>
    <row r="113">
      <c r="A113" s="14" t="n"/>
      <c r="B113" s="14" t="n"/>
      <c r="C113" s="15" t="n"/>
      <c r="D113" s="27" t="n"/>
      <c r="E113" s="27" t="n"/>
      <c r="F113" s="14" t="n"/>
      <c r="G113" s="14">
        <f>IF(OR(F113="Pago",E113="",E113&gt;=TODAY()),0,TODAY()-E113)</f>
        <v/>
      </c>
      <c r="H113" s="14">
        <f>IF(F113="Pago","Pago",IF(G113=0,"A vencer",IF(G113&lt;=30,"1-30",IF(G113&lt;=60,"31-60",IF(G113&lt;=90,"61-90","90+")))))</f>
        <v/>
      </c>
      <c r="I113" s="28">
        <f>IF(F113="Pago",1,IF(G113=0,0.97,IF(G113&lt;=30,0.9,IF(G113&lt;=60,0.72,IF(G113&lt;=90,0.5,0.25)))))</f>
        <v/>
      </c>
      <c r="J113" s="15">
        <f>IF(F113="Pago",0,IF(C113="",0,C113*I113))</f>
        <v/>
      </c>
      <c r="K113" s="14">
        <f>IF(F113="Pago","—",IF(G113=0,"Lembrete gentil",IF(G113&lt;=30,"Cobrar por telefone",IF(G113&lt;=60,"Negociar parcelamento",IF(G113&lt;=90,"Notificação formal","Escalar / jurídico")))))</f>
        <v/>
      </c>
      <c r="L113" s="2" t="n"/>
    </row>
    <row r="114">
      <c r="A114" s="14" t="n"/>
      <c r="B114" s="14" t="n"/>
      <c r="C114" s="15" t="n"/>
      <c r="D114" s="27" t="n"/>
      <c r="E114" s="27" t="n"/>
      <c r="F114" s="14" t="n"/>
      <c r="G114" s="14">
        <f>IF(OR(F114="Pago",E114="",E114&gt;=TODAY()),0,TODAY()-E114)</f>
        <v/>
      </c>
      <c r="H114" s="14">
        <f>IF(F114="Pago","Pago",IF(G114=0,"A vencer",IF(G114&lt;=30,"1-30",IF(G114&lt;=60,"31-60",IF(G114&lt;=90,"61-90","90+")))))</f>
        <v/>
      </c>
      <c r="I114" s="28">
        <f>IF(F114="Pago",1,IF(G114=0,0.97,IF(G114&lt;=30,0.9,IF(G114&lt;=60,0.72,IF(G114&lt;=90,0.5,0.25)))))</f>
        <v/>
      </c>
      <c r="J114" s="15">
        <f>IF(F114="Pago",0,IF(C114="",0,C114*I114))</f>
        <v/>
      </c>
      <c r="K114" s="14">
        <f>IF(F114="Pago","—",IF(G114=0,"Lembrete gentil",IF(G114&lt;=30,"Cobrar por telefone",IF(G114&lt;=60,"Negociar parcelamento",IF(G114&lt;=90,"Notificação formal","Escalar / jurídico")))))</f>
        <v/>
      </c>
      <c r="L114" s="2" t="n"/>
    </row>
    <row r="115">
      <c r="A115" s="14" t="n"/>
      <c r="B115" s="14" t="n"/>
      <c r="C115" s="15" t="n"/>
      <c r="D115" s="27" t="n"/>
      <c r="E115" s="27" t="n"/>
      <c r="F115" s="14" t="n"/>
      <c r="G115" s="14">
        <f>IF(OR(F115="Pago",E115="",E115&gt;=TODAY()),0,TODAY()-E115)</f>
        <v/>
      </c>
      <c r="H115" s="14">
        <f>IF(F115="Pago","Pago",IF(G115=0,"A vencer",IF(G115&lt;=30,"1-30",IF(G115&lt;=60,"31-60",IF(G115&lt;=90,"61-90","90+")))))</f>
        <v/>
      </c>
      <c r="I115" s="28">
        <f>IF(F115="Pago",1,IF(G115=0,0.97,IF(G115&lt;=30,0.9,IF(G115&lt;=60,0.72,IF(G115&lt;=90,0.5,0.25)))))</f>
        <v/>
      </c>
      <c r="J115" s="15">
        <f>IF(F115="Pago",0,IF(C115="",0,C115*I115))</f>
        <v/>
      </c>
      <c r="K115" s="14">
        <f>IF(F115="Pago","—",IF(G115=0,"Lembrete gentil",IF(G115&lt;=30,"Cobrar por telefone",IF(G115&lt;=60,"Negociar parcelamento",IF(G115&lt;=90,"Notificação formal","Escalar / jurídico")))))</f>
        <v/>
      </c>
      <c r="L115" s="2" t="n"/>
    </row>
    <row r="116">
      <c r="A116" s="14" t="n"/>
      <c r="B116" s="14" t="n"/>
      <c r="C116" s="15" t="n"/>
      <c r="D116" s="27" t="n"/>
      <c r="E116" s="27" t="n"/>
      <c r="F116" s="14" t="n"/>
      <c r="G116" s="14">
        <f>IF(OR(F116="Pago",E116="",E116&gt;=TODAY()),0,TODAY()-E116)</f>
        <v/>
      </c>
      <c r="H116" s="14">
        <f>IF(F116="Pago","Pago",IF(G116=0,"A vencer",IF(G116&lt;=30,"1-30",IF(G116&lt;=60,"31-60",IF(G116&lt;=90,"61-90","90+")))))</f>
        <v/>
      </c>
      <c r="I116" s="28">
        <f>IF(F116="Pago",1,IF(G116=0,0.97,IF(G116&lt;=30,0.9,IF(G116&lt;=60,0.72,IF(G116&lt;=90,0.5,0.25)))))</f>
        <v/>
      </c>
      <c r="J116" s="15">
        <f>IF(F116="Pago",0,IF(C116="",0,C116*I116))</f>
        <v/>
      </c>
      <c r="K116" s="14">
        <f>IF(F116="Pago","—",IF(G116=0,"Lembrete gentil",IF(G116&lt;=30,"Cobrar por telefone",IF(G116&lt;=60,"Negociar parcelamento",IF(G116&lt;=90,"Notificação formal","Escalar / jurídico")))))</f>
        <v/>
      </c>
      <c r="L116" s="2" t="n"/>
    </row>
    <row r="117">
      <c r="A117" s="14" t="n"/>
      <c r="B117" s="14" t="n"/>
      <c r="C117" s="15" t="n"/>
      <c r="D117" s="27" t="n"/>
      <c r="E117" s="27" t="n"/>
      <c r="F117" s="14" t="n"/>
      <c r="G117" s="14">
        <f>IF(OR(F117="Pago",E117="",E117&gt;=TODAY()),0,TODAY()-E117)</f>
        <v/>
      </c>
      <c r="H117" s="14">
        <f>IF(F117="Pago","Pago",IF(G117=0,"A vencer",IF(G117&lt;=30,"1-30",IF(G117&lt;=60,"31-60",IF(G117&lt;=90,"61-90","90+")))))</f>
        <v/>
      </c>
      <c r="I117" s="28">
        <f>IF(F117="Pago",1,IF(G117=0,0.97,IF(G117&lt;=30,0.9,IF(G117&lt;=60,0.72,IF(G117&lt;=90,0.5,0.25)))))</f>
        <v/>
      </c>
      <c r="J117" s="15">
        <f>IF(F117="Pago",0,IF(C117="",0,C117*I117))</f>
        <v/>
      </c>
      <c r="K117" s="14">
        <f>IF(F117="Pago","—",IF(G117=0,"Lembrete gentil",IF(G117&lt;=30,"Cobrar por telefone",IF(G117&lt;=60,"Negociar parcelamento",IF(G117&lt;=90,"Notificação formal","Escalar / jurídico")))))</f>
        <v/>
      </c>
      <c r="L117" s="2" t="n"/>
    </row>
    <row r="118">
      <c r="A118" s="14" t="n"/>
      <c r="B118" s="14" t="n"/>
      <c r="C118" s="15" t="n"/>
      <c r="D118" s="27" t="n"/>
      <c r="E118" s="27" t="n"/>
      <c r="F118" s="14" t="n"/>
      <c r="G118" s="14">
        <f>IF(OR(F118="Pago",E118="",E118&gt;=TODAY()),0,TODAY()-E118)</f>
        <v/>
      </c>
      <c r="H118" s="14">
        <f>IF(F118="Pago","Pago",IF(G118=0,"A vencer",IF(G118&lt;=30,"1-30",IF(G118&lt;=60,"31-60",IF(G118&lt;=90,"61-90","90+")))))</f>
        <v/>
      </c>
      <c r="I118" s="28">
        <f>IF(F118="Pago",1,IF(G118=0,0.97,IF(G118&lt;=30,0.9,IF(G118&lt;=60,0.72,IF(G118&lt;=90,0.5,0.25)))))</f>
        <v/>
      </c>
      <c r="J118" s="15">
        <f>IF(F118="Pago",0,IF(C118="",0,C118*I118))</f>
        <v/>
      </c>
      <c r="K118" s="14">
        <f>IF(F118="Pago","—",IF(G118=0,"Lembrete gentil",IF(G118&lt;=30,"Cobrar por telefone",IF(G118&lt;=60,"Negociar parcelamento",IF(G118&lt;=90,"Notificação formal","Escalar / jurídico")))))</f>
        <v/>
      </c>
      <c r="L118" s="2" t="n"/>
    </row>
    <row r="119">
      <c r="A119" s="14" t="n"/>
      <c r="B119" s="14" t="n"/>
      <c r="C119" s="15" t="n"/>
      <c r="D119" s="27" t="n"/>
      <c r="E119" s="27" t="n"/>
      <c r="F119" s="14" t="n"/>
      <c r="G119" s="14">
        <f>IF(OR(F119="Pago",E119="",E119&gt;=TODAY()),0,TODAY()-E119)</f>
        <v/>
      </c>
      <c r="H119" s="14">
        <f>IF(F119="Pago","Pago",IF(G119=0,"A vencer",IF(G119&lt;=30,"1-30",IF(G119&lt;=60,"31-60",IF(G119&lt;=90,"61-90","90+")))))</f>
        <v/>
      </c>
      <c r="I119" s="28">
        <f>IF(F119="Pago",1,IF(G119=0,0.97,IF(G119&lt;=30,0.9,IF(G119&lt;=60,0.72,IF(G119&lt;=90,0.5,0.25)))))</f>
        <v/>
      </c>
      <c r="J119" s="15">
        <f>IF(F119="Pago",0,IF(C119="",0,C119*I119))</f>
        <v/>
      </c>
      <c r="K119" s="14">
        <f>IF(F119="Pago","—",IF(G119=0,"Lembrete gentil",IF(G119&lt;=30,"Cobrar por telefone",IF(G119&lt;=60,"Negociar parcelamento",IF(G119&lt;=90,"Notificação formal","Escalar / jurídico")))))</f>
        <v/>
      </c>
      <c r="L119" s="2" t="n"/>
    </row>
    <row r="120">
      <c r="A120" s="14" t="n"/>
      <c r="B120" s="14" t="n"/>
      <c r="C120" s="15" t="n"/>
      <c r="D120" s="27" t="n"/>
      <c r="E120" s="27" t="n"/>
      <c r="F120" s="14" t="n"/>
      <c r="G120" s="14">
        <f>IF(OR(F120="Pago",E120="",E120&gt;=TODAY()),0,TODAY()-E120)</f>
        <v/>
      </c>
      <c r="H120" s="14">
        <f>IF(F120="Pago","Pago",IF(G120=0,"A vencer",IF(G120&lt;=30,"1-30",IF(G120&lt;=60,"31-60",IF(G120&lt;=90,"61-90","90+")))))</f>
        <v/>
      </c>
      <c r="I120" s="28">
        <f>IF(F120="Pago",1,IF(G120=0,0.97,IF(G120&lt;=30,0.9,IF(G120&lt;=60,0.72,IF(G120&lt;=90,0.5,0.25)))))</f>
        <v/>
      </c>
      <c r="J120" s="15">
        <f>IF(F120="Pago",0,IF(C120="",0,C120*I120))</f>
        <v/>
      </c>
      <c r="K120" s="14">
        <f>IF(F120="Pago","—",IF(G120=0,"Lembrete gentil",IF(G120&lt;=30,"Cobrar por telefone",IF(G120&lt;=60,"Negociar parcelamento",IF(G120&lt;=90,"Notificação formal","Escalar / jurídico")))))</f>
        <v/>
      </c>
      <c r="L120" s="2" t="n"/>
    </row>
    <row r="121">
      <c r="A121" s="14" t="n"/>
      <c r="B121" s="14" t="n"/>
      <c r="C121" s="15" t="n"/>
      <c r="D121" s="27" t="n"/>
      <c r="E121" s="27" t="n"/>
      <c r="F121" s="14" t="n"/>
      <c r="G121" s="14">
        <f>IF(OR(F121="Pago",E121="",E121&gt;=TODAY()),0,TODAY()-E121)</f>
        <v/>
      </c>
      <c r="H121" s="14">
        <f>IF(F121="Pago","Pago",IF(G121=0,"A vencer",IF(G121&lt;=30,"1-30",IF(G121&lt;=60,"31-60",IF(G121&lt;=90,"61-90","90+")))))</f>
        <v/>
      </c>
      <c r="I121" s="28">
        <f>IF(F121="Pago",1,IF(G121=0,0.97,IF(G121&lt;=30,0.9,IF(G121&lt;=60,0.72,IF(G121&lt;=90,0.5,0.25)))))</f>
        <v/>
      </c>
      <c r="J121" s="15">
        <f>IF(F121="Pago",0,IF(C121="",0,C121*I121))</f>
        <v/>
      </c>
      <c r="K121" s="14">
        <f>IF(F121="Pago","—",IF(G121=0,"Lembrete gentil",IF(G121&lt;=30,"Cobrar por telefone",IF(G121&lt;=60,"Negociar parcelamento",IF(G121&lt;=90,"Notificação formal","Escalar / jurídico")))))</f>
        <v/>
      </c>
      <c r="L121" s="2" t="n"/>
    </row>
    <row r="122">
      <c r="A122" s="14" t="n"/>
      <c r="B122" s="14" t="n"/>
      <c r="C122" s="15" t="n"/>
      <c r="D122" s="27" t="n"/>
      <c r="E122" s="27" t="n"/>
      <c r="F122" s="14" t="n"/>
      <c r="G122" s="14">
        <f>IF(OR(F122="Pago",E122="",E122&gt;=TODAY()),0,TODAY()-E122)</f>
        <v/>
      </c>
      <c r="H122" s="14">
        <f>IF(F122="Pago","Pago",IF(G122=0,"A vencer",IF(G122&lt;=30,"1-30",IF(G122&lt;=60,"31-60",IF(G122&lt;=90,"61-90","90+")))))</f>
        <v/>
      </c>
      <c r="I122" s="28">
        <f>IF(F122="Pago",1,IF(G122=0,0.97,IF(G122&lt;=30,0.9,IF(G122&lt;=60,0.72,IF(G122&lt;=90,0.5,0.25)))))</f>
        <v/>
      </c>
      <c r="J122" s="15">
        <f>IF(F122="Pago",0,IF(C122="",0,C122*I122))</f>
        <v/>
      </c>
      <c r="K122" s="14">
        <f>IF(F122="Pago","—",IF(G122=0,"Lembrete gentil",IF(G122&lt;=30,"Cobrar por telefone",IF(G122&lt;=60,"Negociar parcelamento",IF(G122&lt;=90,"Notificação formal","Escalar / jurídico")))))</f>
        <v/>
      </c>
      <c r="L122" s="2" t="n"/>
    </row>
    <row r="123">
      <c r="A123" s="14" t="n"/>
      <c r="B123" s="14" t="n"/>
      <c r="C123" s="15" t="n"/>
      <c r="D123" s="27" t="n"/>
      <c r="E123" s="27" t="n"/>
      <c r="F123" s="14" t="n"/>
      <c r="G123" s="14">
        <f>IF(OR(F123="Pago",E123="",E123&gt;=TODAY()),0,TODAY()-E123)</f>
        <v/>
      </c>
      <c r="H123" s="14">
        <f>IF(F123="Pago","Pago",IF(G123=0,"A vencer",IF(G123&lt;=30,"1-30",IF(G123&lt;=60,"31-60",IF(G123&lt;=90,"61-90","90+")))))</f>
        <v/>
      </c>
      <c r="I123" s="28">
        <f>IF(F123="Pago",1,IF(G123=0,0.97,IF(G123&lt;=30,0.9,IF(G123&lt;=60,0.72,IF(G123&lt;=90,0.5,0.25)))))</f>
        <v/>
      </c>
      <c r="J123" s="15">
        <f>IF(F123="Pago",0,IF(C123="",0,C123*I123))</f>
        <v/>
      </c>
      <c r="K123" s="14">
        <f>IF(F123="Pago","—",IF(G123=0,"Lembrete gentil",IF(G123&lt;=30,"Cobrar por telefone",IF(G123&lt;=60,"Negociar parcelamento",IF(G123&lt;=90,"Notificação formal","Escalar / jurídico")))))</f>
        <v/>
      </c>
      <c r="L123" s="2" t="n"/>
    </row>
    <row r="124">
      <c r="A124" s="14" t="n"/>
      <c r="B124" s="14" t="n"/>
      <c r="C124" s="15" t="n"/>
      <c r="D124" s="27" t="n"/>
      <c r="E124" s="27" t="n"/>
      <c r="F124" s="14" t="n"/>
      <c r="G124" s="14">
        <f>IF(OR(F124="Pago",E124="",E124&gt;=TODAY()),0,TODAY()-E124)</f>
        <v/>
      </c>
      <c r="H124" s="14">
        <f>IF(F124="Pago","Pago",IF(G124=0,"A vencer",IF(G124&lt;=30,"1-30",IF(G124&lt;=60,"31-60",IF(G124&lt;=90,"61-90","90+")))))</f>
        <v/>
      </c>
      <c r="I124" s="28">
        <f>IF(F124="Pago",1,IF(G124=0,0.97,IF(G124&lt;=30,0.9,IF(G124&lt;=60,0.72,IF(G124&lt;=90,0.5,0.25)))))</f>
        <v/>
      </c>
      <c r="J124" s="15">
        <f>IF(F124="Pago",0,IF(C124="",0,C124*I124))</f>
        <v/>
      </c>
      <c r="K124" s="14">
        <f>IF(F124="Pago","—",IF(G124=0,"Lembrete gentil",IF(G124&lt;=30,"Cobrar por telefone",IF(G124&lt;=60,"Negociar parcelamento",IF(G124&lt;=90,"Notificação formal","Escalar / jurídico")))))</f>
        <v/>
      </c>
      <c r="L124" s="2" t="n"/>
    </row>
    <row r="125">
      <c r="A125" s="14" t="n"/>
      <c r="B125" s="14" t="n"/>
      <c r="C125" s="15" t="n"/>
      <c r="D125" s="27" t="n"/>
      <c r="E125" s="27" t="n"/>
      <c r="F125" s="14" t="n"/>
      <c r="G125" s="14">
        <f>IF(OR(F125="Pago",E125="",E125&gt;=TODAY()),0,TODAY()-E125)</f>
        <v/>
      </c>
      <c r="H125" s="14">
        <f>IF(F125="Pago","Pago",IF(G125=0,"A vencer",IF(G125&lt;=30,"1-30",IF(G125&lt;=60,"31-60",IF(G125&lt;=90,"61-90","90+")))))</f>
        <v/>
      </c>
      <c r="I125" s="28">
        <f>IF(F125="Pago",1,IF(G125=0,0.97,IF(G125&lt;=30,0.9,IF(G125&lt;=60,0.72,IF(G125&lt;=90,0.5,0.25)))))</f>
        <v/>
      </c>
      <c r="J125" s="15">
        <f>IF(F125="Pago",0,IF(C125="",0,C125*I125))</f>
        <v/>
      </c>
      <c r="K125" s="14">
        <f>IF(F125="Pago","—",IF(G125=0,"Lembrete gentil",IF(G125&lt;=30,"Cobrar por telefone",IF(G125&lt;=60,"Negociar parcelamento",IF(G125&lt;=90,"Notificação formal","Escalar / jurídico")))))</f>
        <v/>
      </c>
      <c r="L125" s="2" t="n"/>
    </row>
    <row r="126">
      <c r="A126" s="14" t="n"/>
      <c r="B126" s="14" t="n"/>
      <c r="C126" s="15" t="n"/>
      <c r="D126" s="27" t="n"/>
      <c r="E126" s="27" t="n"/>
      <c r="F126" s="14" t="n"/>
      <c r="G126" s="14">
        <f>IF(OR(F126="Pago",E126="",E126&gt;=TODAY()),0,TODAY()-E126)</f>
        <v/>
      </c>
      <c r="H126" s="14">
        <f>IF(F126="Pago","Pago",IF(G126=0,"A vencer",IF(G126&lt;=30,"1-30",IF(G126&lt;=60,"31-60",IF(G126&lt;=90,"61-90","90+")))))</f>
        <v/>
      </c>
      <c r="I126" s="28">
        <f>IF(F126="Pago",1,IF(G126=0,0.97,IF(G126&lt;=30,0.9,IF(G126&lt;=60,0.72,IF(G126&lt;=90,0.5,0.25)))))</f>
        <v/>
      </c>
      <c r="J126" s="15">
        <f>IF(F126="Pago",0,IF(C126="",0,C126*I126))</f>
        <v/>
      </c>
      <c r="K126" s="14">
        <f>IF(F126="Pago","—",IF(G126=0,"Lembrete gentil",IF(G126&lt;=30,"Cobrar por telefone",IF(G126&lt;=60,"Negociar parcelamento",IF(G126&lt;=90,"Notificação formal","Escalar / jurídico")))))</f>
        <v/>
      </c>
      <c r="L126" s="2" t="n"/>
    </row>
    <row r="127">
      <c r="A127" s="14" t="n"/>
      <c r="B127" s="14" t="n"/>
      <c r="C127" s="15" t="n"/>
      <c r="D127" s="27" t="n"/>
      <c r="E127" s="27" t="n"/>
      <c r="F127" s="14" t="n"/>
      <c r="G127" s="14">
        <f>IF(OR(F127="Pago",E127="",E127&gt;=TODAY()),0,TODAY()-E127)</f>
        <v/>
      </c>
      <c r="H127" s="14">
        <f>IF(F127="Pago","Pago",IF(G127=0,"A vencer",IF(G127&lt;=30,"1-30",IF(G127&lt;=60,"31-60",IF(G127&lt;=90,"61-90","90+")))))</f>
        <v/>
      </c>
      <c r="I127" s="28">
        <f>IF(F127="Pago",1,IF(G127=0,0.97,IF(G127&lt;=30,0.9,IF(G127&lt;=60,0.72,IF(G127&lt;=90,0.5,0.25)))))</f>
        <v/>
      </c>
      <c r="J127" s="15">
        <f>IF(F127="Pago",0,IF(C127="",0,C127*I127))</f>
        <v/>
      </c>
      <c r="K127" s="14">
        <f>IF(F127="Pago","—",IF(G127=0,"Lembrete gentil",IF(G127&lt;=30,"Cobrar por telefone",IF(G127&lt;=60,"Negociar parcelamento",IF(G127&lt;=90,"Notificação formal","Escalar / jurídico")))))</f>
        <v/>
      </c>
      <c r="L127" s="2" t="n"/>
    </row>
    <row r="128">
      <c r="A128" s="14" t="n"/>
      <c r="B128" s="14" t="n"/>
      <c r="C128" s="15" t="n"/>
      <c r="D128" s="27" t="n"/>
      <c r="E128" s="27" t="n"/>
      <c r="F128" s="14" t="n"/>
      <c r="G128" s="14">
        <f>IF(OR(F128="Pago",E128="",E128&gt;=TODAY()),0,TODAY()-E128)</f>
        <v/>
      </c>
      <c r="H128" s="14">
        <f>IF(F128="Pago","Pago",IF(G128=0,"A vencer",IF(G128&lt;=30,"1-30",IF(G128&lt;=60,"31-60",IF(G128&lt;=90,"61-90","90+")))))</f>
        <v/>
      </c>
      <c r="I128" s="28">
        <f>IF(F128="Pago",1,IF(G128=0,0.97,IF(G128&lt;=30,0.9,IF(G128&lt;=60,0.72,IF(G128&lt;=90,0.5,0.25)))))</f>
        <v/>
      </c>
      <c r="J128" s="15">
        <f>IF(F128="Pago",0,IF(C128="",0,C128*I128))</f>
        <v/>
      </c>
      <c r="K128" s="14">
        <f>IF(F128="Pago","—",IF(G128=0,"Lembrete gentil",IF(G128&lt;=30,"Cobrar por telefone",IF(G128&lt;=60,"Negociar parcelamento",IF(G128&lt;=90,"Notificação formal","Escalar / jurídico")))))</f>
        <v/>
      </c>
      <c r="L128" s="2" t="n"/>
    </row>
    <row r="129">
      <c r="A129" s="14" t="n"/>
      <c r="B129" s="14" t="n"/>
      <c r="C129" s="15" t="n"/>
      <c r="D129" s="27" t="n"/>
      <c r="E129" s="27" t="n"/>
      <c r="F129" s="14" t="n"/>
      <c r="G129" s="14">
        <f>IF(OR(F129="Pago",E129="",E129&gt;=TODAY()),0,TODAY()-E129)</f>
        <v/>
      </c>
      <c r="H129" s="14">
        <f>IF(F129="Pago","Pago",IF(G129=0,"A vencer",IF(G129&lt;=30,"1-30",IF(G129&lt;=60,"31-60",IF(G129&lt;=90,"61-90","90+")))))</f>
        <v/>
      </c>
      <c r="I129" s="28">
        <f>IF(F129="Pago",1,IF(G129=0,0.97,IF(G129&lt;=30,0.9,IF(G129&lt;=60,0.72,IF(G129&lt;=90,0.5,0.25)))))</f>
        <v/>
      </c>
      <c r="J129" s="15">
        <f>IF(F129="Pago",0,IF(C129="",0,C129*I129))</f>
        <v/>
      </c>
      <c r="K129" s="14">
        <f>IF(F129="Pago","—",IF(G129=0,"Lembrete gentil",IF(G129&lt;=30,"Cobrar por telefone",IF(G129&lt;=60,"Negociar parcelamento",IF(G129&lt;=90,"Notificação formal","Escalar / jurídico")))))</f>
        <v/>
      </c>
      <c r="L129" s="2" t="n"/>
    </row>
    <row r="130">
      <c r="A130" s="14" t="n"/>
      <c r="B130" s="14" t="n"/>
      <c r="C130" s="15" t="n"/>
      <c r="D130" s="27" t="n"/>
      <c r="E130" s="27" t="n"/>
      <c r="F130" s="14" t="n"/>
      <c r="G130" s="14">
        <f>IF(OR(F130="Pago",E130="",E130&gt;=TODAY()),0,TODAY()-E130)</f>
        <v/>
      </c>
      <c r="H130" s="14">
        <f>IF(F130="Pago","Pago",IF(G130=0,"A vencer",IF(G130&lt;=30,"1-30",IF(G130&lt;=60,"31-60",IF(G130&lt;=90,"61-90","90+")))))</f>
        <v/>
      </c>
      <c r="I130" s="28">
        <f>IF(F130="Pago",1,IF(G130=0,0.97,IF(G130&lt;=30,0.9,IF(G130&lt;=60,0.72,IF(G130&lt;=90,0.5,0.25)))))</f>
        <v/>
      </c>
      <c r="J130" s="15">
        <f>IF(F130="Pago",0,IF(C130="",0,C130*I130))</f>
        <v/>
      </c>
      <c r="K130" s="14">
        <f>IF(F130="Pago","—",IF(G130=0,"Lembrete gentil",IF(G130&lt;=30,"Cobrar por telefone",IF(G130&lt;=60,"Negociar parcelamento",IF(G130&lt;=90,"Notificação formal","Escalar / jurídico")))))</f>
        <v/>
      </c>
      <c r="L130" s="2" t="n"/>
    </row>
    <row r="131">
      <c r="A131" s="14" t="n"/>
      <c r="B131" s="14" t="n"/>
      <c r="C131" s="15" t="n"/>
      <c r="D131" s="27" t="n"/>
      <c r="E131" s="27" t="n"/>
      <c r="F131" s="14" t="n"/>
      <c r="G131" s="14">
        <f>IF(OR(F131="Pago",E131="",E131&gt;=TODAY()),0,TODAY()-E131)</f>
        <v/>
      </c>
      <c r="H131" s="14">
        <f>IF(F131="Pago","Pago",IF(G131=0,"A vencer",IF(G131&lt;=30,"1-30",IF(G131&lt;=60,"31-60",IF(G131&lt;=90,"61-90","90+")))))</f>
        <v/>
      </c>
      <c r="I131" s="28">
        <f>IF(F131="Pago",1,IF(G131=0,0.97,IF(G131&lt;=30,0.9,IF(G131&lt;=60,0.72,IF(G131&lt;=90,0.5,0.25)))))</f>
        <v/>
      </c>
      <c r="J131" s="15">
        <f>IF(F131="Pago",0,IF(C131="",0,C131*I131))</f>
        <v/>
      </c>
      <c r="K131" s="14">
        <f>IF(F131="Pago","—",IF(G131=0,"Lembrete gentil",IF(G131&lt;=30,"Cobrar por telefone",IF(G131&lt;=60,"Negociar parcelamento",IF(G131&lt;=90,"Notificação formal","Escalar / jurídico")))))</f>
        <v/>
      </c>
      <c r="L131" s="2" t="n"/>
    </row>
    <row r="132">
      <c r="A132" s="14" t="n"/>
      <c r="B132" s="14" t="n"/>
      <c r="C132" s="15" t="n"/>
      <c r="D132" s="27" t="n"/>
      <c r="E132" s="27" t="n"/>
      <c r="F132" s="14" t="n"/>
      <c r="G132" s="14">
        <f>IF(OR(F132="Pago",E132="",E132&gt;=TODAY()),0,TODAY()-E132)</f>
        <v/>
      </c>
      <c r="H132" s="14">
        <f>IF(F132="Pago","Pago",IF(G132=0,"A vencer",IF(G132&lt;=30,"1-30",IF(G132&lt;=60,"31-60",IF(G132&lt;=90,"61-90","90+")))))</f>
        <v/>
      </c>
      <c r="I132" s="28">
        <f>IF(F132="Pago",1,IF(G132=0,0.97,IF(G132&lt;=30,0.9,IF(G132&lt;=60,0.72,IF(G132&lt;=90,0.5,0.25)))))</f>
        <v/>
      </c>
      <c r="J132" s="15">
        <f>IF(F132="Pago",0,IF(C132="",0,C132*I132))</f>
        <v/>
      </c>
      <c r="K132" s="14">
        <f>IF(F132="Pago","—",IF(G132=0,"Lembrete gentil",IF(G132&lt;=30,"Cobrar por telefone",IF(G132&lt;=60,"Negociar parcelamento",IF(G132&lt;=90,"Notificação formal","Escalar / jurídico")))))</f>
        <v/>
      </c>
      <c r="L132" s="2" t="n"/>
    </row>
    <row r="133">
      <c r="A133" s="14" t="n"/>
      <c r="B133" s="14" t="n"/>
      <c r="C133" s="15" t="n"/>
      <c r="D133" s="27" t="n"/>
      <c r="E133" s="27" t="n"/>
      <c r="F133" s="14" t="n"/>
      <c r="G133" s="14">
        <f>IF(OR(F133="Pago",E133="",E133&gt;=TODAY()),0,TODAY()-E133)</f>
        <v/>
      </c>
      <c r="H133" s="14">
        <f>IF(F133="Pago","Pago",IF(G133=0,"A vencer",IF(G133&lt;=30,"1-30",IF(G133&lt;=60,"31-60",IF(G133&lt;=90,"61-90","90+")))))</f>
        <v/>
      </c>
      <c r="I133" s="28">
        <f>IF(F133="Pago",1,IF(G133=0,0.97,IF(G133&lt;=30,0.9,IF(G133&lt;=60,0.72,IF(G133&lt;=90,0.5,0.25)))))</f>
        <v/>
      </c>
      <c r="J133" s="15">
        <f>IF(F133="Pago",0,IF(C133="",0,C133*I133))</f>
        <v/>
      </c>
      <c r="K133" s="14">
        <f>IF(F133="Pago","—",IF(G133=0,"Lembrete gentil",IF(G133&lt;=30,"Cobrar por telefone",IF(G133&lt;=60,"Negociar parcelamento",IF(G133&lt;=90,"Notificação formal","Escalar / jurídico")))))</f>
        <v/>
      </c>
      <c r="L133" s="2" t="n"/>
    </row>
    <row r="134">
      <c r="A134" s="14" t="n"/>
      <c r="B134" s="14" t="n"/>
      <c r="C134" s="15" t="n"/>
      <c r="D134" s="27" t="n"/>
      <c r="E134" s="27" t="n"/>
      <c r="F134" s="14" t="n"/>
      <c r="G134" s="14">
        <f>IF(OR(F134="Pago",E134="",E134&gt;=TODAY()),0,TODAY()-E134)</f>
        <v/>
      </c>
      <c r="H134" s="14">
        <f>IF(F134="Pago","Pago",IF(G134=0,"A vencer",IF(G134&lt;=30,"1-30",IF(G134&lt;=60,"31-60",IF(G134&lt;=90,"61-90","90+")))))</f>
        <v/>
      </c>
      <c r="I134" s="28">
        <f>IF(F134="Pago",1,IF(G134=0,0.97,IF(G134&lt;=30,0.9,IF(G134&lt;=60,0.72,IF(G134&lt;=90,0.5,0.25)))))</f>
        <v/>
      </c>
      <c r="J134" s="15">
        <f>IF(F134="Pago",0,IF(C134="",0,C134*I134))</f>
        <v/>
      </c>
      <c r="K134" s="14">
        <f>IF(F134="Pago","—",IF(G134=0,"Lembrete gentil",IF(G134&lt;=30,"Cobrar por telefone",IF(G134&lt;=60,"Negociar parcelamento",IF(G134&lt;=90,"Notificação formal","Escalar / jurídico")))))</f>
        <v/>
      </c>
      <c r="L134" s="2" t="n"/>
    </row>
    <row r="135">
      <c r="A135" s="14" t="n"/>
      <c r="B135" s="14" t="n"/>
      <c r="C135" s="15" t="n"/>
      <c r="D135" s="27" t="n"/>
      <c r="E135" s="27" t="n"/>
      <c r="F135" s="14" t="n"/>
      <c r="G135" s="14">
        <f>IF(OR(F135="Pago",E135="",E135&gt;=TODAY()),0,TODAY()-E135)</f>
        <v/>
      </c>
      <c r="H135" s="14">
        <f>IF(F135="Pago","Pago",IF(G135=0,"A vencer",IF(G135&lt;=30,"1-30",IF(G135&lt;=60,"31-60",IF(G135&lt;=90,"61-90","90+")))))</f>
        <v/>
      </c>
      <c r="I135" s="28">
        <f>IF(F135="Pago",1,IF(G135=0,0.97,IF(G135&lt;=30,0.9,IF(G135&lt;=60,0.72,IF(G135&lt;=90,0.5,0.25)))))</f>
        <v/>
      </c>
      <c r="J135" s="15">
        <f>IF(F135="Pago",0,IF(C135="",0,C135*I135))</f>
        <v/>
      </c>
      <c r="K135" s="14">
        <f>IF(F135="Pago","—",IF(G135=0,"Lembrete gentil",IF(G135&lt;=30,"Cobrar por telefone",IF(G135&lt;=60,"Negociar parcelamento",IF(G135&lt;=90,"Notificação formal","Escalar / jurídico")))))</f>
        <v/>
      </c>
      <c r="L135" s="2" t="n"/>
    </row>
    <row r="136">
      <c r="A136" s="14" t="n"/>
      <c r="B136" s="14" t="n"/>
      <c r="C136" s="15" t="n"/>
      <c r="D136" s="27" t="n"/>
      <c r="E136" s="27" t="n"/>
      <c r="F136" s="14" t="n"/>
      <c r="G136" s="14">
        <f>IF(OR(F136="Pago",E136="",E136&gt;=TODAY()),0,TODAY()-E136)</f>
        <v/>
      </c>
      <c r="H136" s="14">
        <f>IF(F136="Pago","Pago",IF(G136=0,"A vencer",IF(G136&lt;=30,"1-30",IF(G136&lt;=60,"31-60",IF(G136&lt;=90,"61-90","90+")))))</f>
        <v/>
      </c>
      <c r="I136" s="28">
        <f>IF(F136="Pago",1,IF(G136=0,0.97,IF(G136&lt;=30,0.9,IF(G136&lt;=60,0.72,IF(G136&lt;=90,0.5,0.25)))))</f>
        <v/>
      </c>
      <c r="J136" s="15">
        <f>IF(F136="Pago",0,IF(C136="",0,C136*I136))</f>
        <v/>
      </c>
      <c r="K136" s="14">
        <f>IF(F136="Pago","—",IF(G136=0,"Lembrete gentil",IF(G136&lt;=30,"Cobrar por telefone",IF(G136&lt;=60,"Negociar parcelamento",IF(G136&lt;=90,"Notificação formal","Escalar / jurídico")))))</f>
        <v/>
      </c>
      <c r="L136" s="2" t="n"/>
    </row>
    <row r="137">
      <c r="A137" s="14" t="n"/>
      <c r="B137" s="14" t="n"/>
      <c r="C137" s="15" t="n"/>
      <c r="D137" s="27" t="n"/>
      <c r="E137" s="27" t="n"/>
      <c r="F137" s="14" t="n"/>
      <c r="G137" s="14">
        <f>IF(OR(F137="Pago",E137="",E137&gt;=TODAY()),0,TODAY()-E137)</f>
        <v/>
      </c>
      <c r="H137" s="14">
        <f>IF(F137="Pago","Pago",IF(G137=0,"A vencer",IF(G137&lt;=30,"1-30",IF(G137&lt;=60,"31-60",IF(G137&lt;=90,"61-90","90+")))))</f>
        <v/>
      </c>
      <c r="I137" s="28">
        <f>IF(F137="Pago",1,IF(G137=0,0.97,IF(G137&lt;=30,0.9,IF(G137&lt;=60,0.72,IF(G137&lt;=90,0.5,0.25)))))</f>
        <v/>
      </c>
      <c r="J137" s="15">
        <f>IF(F137="Pago",0,IF(C137="",0,C137*I137))</f>
        <v/>
      </c>
      <c r="K137" s="14">
        <f>IF(F137="Pago","—",IF(G137=0,"Lembrete gentil",IF(G137&lt;=30,"Cobrar por telefone",IF(G137&lt;=60,"Negociar parcelamento",IF(G137&lt;=90,"Notificação formal","Escalar / jurídico")))))</f>
        <v/>
      </c>
      <c r="L137" s="2" t="n"/>
    </row>
    <row r="138">
      <c r="A138" s="14" t="n"/>
      <c r="B138" s="14" t="n"/>
      <c r="C138" s="15" t="n"/>
      <c r="D138" s="27" t="n"/>
      <c r="E138" s="27" t="n"/>
      <c r="F138" s="14" t="n"/>
      <c r="G138" s="14">
        <f>IF(OR(F138="Pago",E138="",E138&gt;=TODAY()),0,TODAY()-E138)</f>
        <v/>
      </c>
      <c r="H138" s="14">
        <f>IF(F138="Pago","Pago",IF(G138=0,"A vencer",IF(G138&lt;=30,"1-30",IF(G138&lt;=60,"31-60",IF(G138&lt;=90,"61-90","90+")))))</f>
        <v/>
      </c>
      <c r="I138" s="28">
        <f>IF(F138="Pago",1,IF(G138=0,0.97,IF(G138&lt;=30,0.9,IF(G138&lt;=60,0.72,IF(G138&lt;=90,0.5,0.25)))))</f>
        <v/>
      </c>
      <c r="J138" s="15">
        <f>IF(F138="Pago",0,IF(C138="",0,C138*I138))</f>
        <v/>
      </c>
      <c r="K138" s="14">
        <f>IF(F138="Pago","—",IF(G138=0,"Lembrete gentil",IF(G138&lt;=30,"Cobrar por telefone",IF(G138&lt;=60,"Negociar parcelamento",IF(G138&lt;=90,"Notificação formal","Escalar / jurídico")))))</f>
        <v/>
      </c>
      <c r="L138" s="2" t="n"/>
    </row>
    <row r="139">
      <c r="A139" s="14" t="n"/>
      <c r="B139" s="14" t="n"/>
      <c r="C139" s="15" t="n"/>
      <c r="D139" s="27" t="n"/>
      <c r="E139" s="27" t="n"/>
      <c r="F139" s="14" t="n"/>
      <c r="G139" s="14">
        <f>IF(OR(F139="Pago",E139="",E139&gt;=TODAY()),0,TODAY()-E139)</f>
        <v/>
      </c>
      <c r="H139" s="14">
        <f>IF(F139="Pago","Pago",IF(G139=0,"A vencer",IF(G139&lt;=30,"1-30",IF(G139&lt;=60,"31-60",IF(G139&lt;=90,"61-90","90+")))))</f>
        <v/>
      </c>
      <c r="I139" s="28">
        <f>IF(F139="Pago",1,IF(G139=0,0.97,IF(G139&lt;=30,0.9,IF(G139&lt;=60,0.72,IF(G139&lt;=90,0.5,0.25)))))</f>
        <v/>
      </c>
      <c r="J139" s="15">
        <f>IF(F139="Pago",0,IF(C139="",0,C139*I139))</f>
        <v/>
      </c>
      <c r="K139" s="14">
        <f>IF(F139="Pago","—",IF(G139=0,"Lembrete gentil",IF(G139&lt;=30,"Cobrar por telefone",IF(G139&lt;=60,"Negociar parcelamento",IF(G139&lt;=90,"Notificação formal","Escalar / jurídico")))))</f>
        <v/>
      </c>
      <c r="L139" s="2" t="n"/>
    </row>
    <row r="140">
      <c r="A140" s="14" t="n"/>
      <c r="B140" s="14" t="n"/>
      <c r="C140" s="15" t="n"/>
      <c r="D140" s="27" t="n"/>
      <c r="E140" s="27" t="n"/>
      <c r="F140" s="14" t="n"/>
      <c r="G140" s="14">
        <f>IF(OR(F140="Pago",E140="",E140&gt;=TODAY()),0,TODAY()-E140)</f>
        <v/>
      </c>
      <c r="H140" s="14">
        <f>IF(F140="Pago","Pago",IF(G140=0,"A vencer",IF(G140&lt;=30,"1-30",IF(G140&lt;=60,"31-60",IF(G140&lt;=90,"61-90","90+")))))</f>
        <v/>
      </c>
      <c r="I140" s="28">
        <f>IF(F140="Pago",1,IF(G140=0,0.97,IF(G140&lt;=30,0.9,IF(G140&lt;=60,0.72,IF(G140&lt;=90,0.5,0.25)))))</f>
        <v/>
      </c>
      <c r="J140" s="15">
        <f>IF(F140="Pago",0,IF(C140="",0,C140*I140))</f>
        <v/>
      </c>
      <c r="K140" s="14">
        <f>IF(F140="Pago","—",IF(G140=0,"Lembrete gentil",IF(G140&lt;=30,"Cobrar por telefone",IF(G140&lt;=60,"Negociar parcelamento",IF(G140&lt;=90,"Notificação formal","Escalar / jurídico")))))</f>
        <v/>
      </c>
      <c r="L140" s="2" t="n"/>
    </row>
    <row r="141">
      <c r="A141" s="14" t="n"/>
      <c r="B141" s="14" t="n"/>
      <c r="C141" s="15" t="n"/>
      <c r="D141" s="27" t="n"/>
      <c r="E141" s="27" t="n"/>
      <c r="F141" s="14" t="n"/>
      <c r="G141" s="14">
        <f>IF(OR(F141="Pago",E141="",E141&gt;=TODAY()),0,TODAY()-E141)</f>
        <v/>
      </c>
      <c r="H141" s="14">
        <f>IF(F141="Pago","Pago",IF(G141=0,"A vencer",IF(G141&lt;=30,"1-30",IF(G141&lt;=60,"31-60",IF(G141&lt;=90,"61-90","90+")))))</f>
        <v/>
      </c>
      <c r="I141" s="28">
        <f>IF(F141="Pago",1,IF(G141=0,0.97,IF(G141&lt;=30,0.9,IF(G141&lt;=60,0.72,IF(G141&lt;=90,0.5,0.25)))))</f>
        <v/>
      </c>
      <c r="J141" s="15">
        <f>IF(F141="Pago",0,IF(C141="",0,C141*I141))</f>
        <v/>
      </c>
      <c r="K141" s="14">
        <f>IF(F141="Pago","—",IF(G141=0,"Lembrete gentil",IF(G141&lt;=30,"Cobrar por telefone",IF(G141&lt;=60,"Negociar parcelamento",IF(G141&lt;=90,"Notificação formal","Escalar / jurídico")))))</f>
        <v/>
      </c>
      <c r="L141" s="2" t="n"/>
    </row>
    <row r="142">
      <c r="A142" s="14" t="n"/>
      <c r="B142" s="14" t="n"/>
      <c r="C142" s="15" t="n"/>
      <c r="D142" s="27" t="n"/>
      <c r="E142" s="27" t="n"/>
      <c r="F142" s="14" t="n"/>
      <c r="G142" s="14">
        <f>IF(OR(F142="Pago",E142="",E142&gt;=TODAY()),0,TODAY()-E142)</f>
        <v/>
      </c>
      <c r="H142" s="14">
        <f>IF(F142="Pago","Pago",IF(G142=0,"A vencer",IF(G142&lt;=30,"1-30",IF(G142&lt;=60,"31-60",IF(G142&lt;=90,"61-90","90+")))))</f>
        <v/>
      </c>
      <c r="I142" s="28">
        <f>IF(F142="Pago",1,IF(G142=0,0.97,IF(G142&lt;=30,0.9,IF(G142&lt;=60,0.72,IF(G142&lt;=90,0.5,0.25)))))</f>
        <v/>
      </c>
      <c r="J142" s="15">
        <f>IF(F142="Pago",0,IF(C142="",0,C142*I142))</f>
        <v/>
      </c>
      <c r="K142" s="14">
        <f>IF(F142="Pago","—",IF(G142=0,"Lembrete gentil",IF(G142&lt;=30,"Cobrar por telefone",IF(G142&lt;=60,"Negociar parcelamento",IF(G142&lt;=90,"Notificação formal","Escalar / jurídico")))))</f>
        <v/>
      </c>
      <c r="L142" s="2" t="n"/>
    </row>
    <row r="143">
      <c r="A143" s="14" t="n"/>
      <c r="B143" s="14" t="n"/>
      <c r="C143" s="15" t="n"/>
      <c r="D143" s="27" t="n"/>
      <c r="E143" s="27" t="n"/>
      <c r="F143" s="14" t="n"/>
      <c r="G143" s="14">
        <f>IF(OR(F143="Pago",E143="",E143&gt;=TODAY()),0,TODAY()-E143)</f>
        <v/>
      </c>
      <c r="H143" s="14">
        <f>IF(F143="Pago","Pago",IF(G143=0,"A vencer",IF(G143&lt;=30,"1-30",IF(G143&lt;=60,"31-60",IF(G143&lt;=90,"61-90","90+")))))</f>
        <v/>
      </c>
      <c r="I143" s="28">
        <f>IF(F143="Pago",1,IF(G143=0,0.97,IF(G143&lt;=30,0.9,IF(G143&lt;=60,0.72,IF(G143&lt;=90,0.5,0.25)))))</f>
        <v/>
      </c>
      <c r="J143" s="15">
        <f>IF(F143="Pago",0,IF(C143="",0,C143*I143))</f>
        <v/>
      </c>
      <c r="K143" s="14">
        <f>IF(F143="Pago","—",IF(G143=0,"Lembrete gentil",IF(G143&lt;=30,"Cobrar por telefone",IF(G143&lt;=60,"Negociar parcelamento",IF(G143&lt;=90,"Notificação formal","Escalar / jurídico")))))</f>
        <v/>
      </c>
      <c r="L143" s="2" t="n"/>
    </row>
    <row r="144">
      <c r="A144" s="14" t="n"/>
      <c r="B144" s="14" t="n"/>
      <c r="C144" s="15" t="n"/>
      <c r="D144" s="27" t="n"/>
      <c r="E144" s="27" t="n"/>
      <c r="F144" s="14" t="n"/>
      <c r="G144" s="14">
        <f>IF(OR(F144="Pago",E144="",E144&gt;=TODAY()),0,TODAY()-E144)</f>
        <v/>
      </c>
      <c r="H144" s="14">
        <f>IF(F144="Pago","Pago",IF(G144=0,"A vencer",IF(G144&lt;=30,"1-30",IF(G144&lt;=60,"31-60",IF(G144&lt;=90,"61-90","90+")))))</f>
        <v/>
      </c>
      <c r="I144" s="28">
        <f>IF(F144="Pago",1,IF(G144=0,0.97,IF(G144&lt;=30,0.9,IF(G144&lt;=60,0.72,IF(G144&lt;=90,0.5,0.25)))))</f>
        <v/>
      </c>
      <c r="J144" s="15">
        <f>IF(F144="Pago",0,IF(C144="",0,C144*I144))</f>
        <v/>
      </c>
      <c r="K144" s="14">
        <f>IF(F144="Pago","—",IF(G144=0,"Lembrete gentil",IF(G144&lt;=30,"Cobrar por telefone",IF(G144&lt;=60,"Negociar parcelamento",IF(G144&lt;=90,"Notificação formal","Escalar / jurídico")))))</f>
        <v/>
      </c>
      <c r="L144" s="2" t="n"/>
    </row>
    <row r="145">
      <c r="A145" s="14" t="n"/>
      <c r="B145" s="14" t="n"/>
      <c r="C145" s="15" t="n"/>
      <c r="D145" s="27" t="n"/>
      <c r="E145" s="27" t="n"/>
      <c r="F145" s="14" t="n"/>
      <c r="G145" s="14">
        <f>IF(OR(F145="Pago",E145="",E145&gt;=TODAY()),0,TODAY()-E145)</f>
        <v/>
      </c>
      <c r="H145" s="14">
        <f>IF(F145="Pago","Pago",IF(G145=0,"A vencer",IF(G145&lt;=30,"1-30",IF(G145&lt;=60,"31-60",IF(G145&lt;=90,"61-90","90+")))))</f>
        <v/>
      </c>
      <c r="I145" s="28">
        <f>IF(F145="Pago",1,IF(G145=0,0.97,IF(G145&lt;=30,0.9,IF(G145&lt;=60,0.72,IF(G145&lt;=90,0.5,0.25)))))</f>
        <v/>
      </c>
      <c r="J145" s="15">
        <f>IF(F145="Pago",0,IF(C145="",0,C145*I145))</f>
        <v/>
      </c>
      <c r="K145" s="14">
        <f>IF(F145="Pago","—",IF(G145=0,"Lembrete gentil",IF(G145&lt;=30,"Cobrar por telefone",IF(G145&lt;=60,"Negociar parcelamento",IF(G145&lt;=90,"Notificação formal","Escalar / jurídico")))))</f>
        <v/>
      </c>
      <c r="L145" s="2" t="n"/>
    </row>
    <row r="146">
      <c r="A146" s="14" t="n"/>
      <c r="B146" s="14" t="n"/>
      <c r="C146" s="15" t="n"/>
      <c r="D146" s="27" t="n"/>
      <c r="E146" s="27" t="n"/>
      <c r="F146" s="14" t="n"/>
      <c r="G146" s="14">
        <f>IF(OR(F146="Pago",E146="",E146&gt;=TODAY()),0,TODAY()-E146)</f>
        <v/>
      </c>
      <c r="H146" s="14">
        <f>IF(F146="Pago","Pago",IF(G146=0,"A vencer",IF(G146&lt;=30,"1-30",IF(G146&lt;=60,"31-60",IF(G146&lt;=90,"61-90","90+")))))</f>
        <v/>
      </c>
      <c r="I146" s="28">
        <f>IF(F146="Pago",1,IF(G146=0,0.97,IF(G146&lt;=30,0.9,IF(G146&lt;=60,0.72,IF(G146&lt;=90,0.5,0.25)))))</f>
        <v/>
      </c>
      <c r="J146" s="15">
        <f>IF(F146="Pago",0,IF(C146="",0,C146*I146))</f>
        <v/>
      </c>
      <c r="K146" s="14">
        <f>IF(F146="Pago","—",IF(G146=0,"Lembrete gentil",IF(G146&lt;=30,"Cobrar por telefone",IF(G146&lt;=60,"Negociar parcelamento",IF(G146&lt;=90,"Notificação formal","Escalar / jurídico")))))</f>
        <v/>
      </c>
      <c r="L146" s="2" t="n"/>
    </row>
    <row r="147">
      <c r="A147" s="14" t="n"/>
      <c r="B147" s="14" t="n"/>
      <c r="C147" s="15" t="n"/>
      <c r="D147" s="27" t="n"/>
      <c r="E147" s="27" t="n"/>
      <c r="F147" s="14" t="n"/>
      <c r="G147" s="14">
        <f>IF(OR(F147="Pago",E147="",E147&gt;=TODAY()),0,TODAY()-E147)</f>
        <v/>
      </c>
      <c r="H147" s="14">
        <f>IF(F147="Pago","Pago",IF(G147=0,"A vencer",IF(G147&lt;=30,"1-30",IF(G147&lt;=60,"31-60",IF(G147&lt;=90,"61-90","90+")))))</f>
        <v/>
      </c>
      <c r="I147" s="28">
        <f>IF(F147="Pago",1,IF(G147=0,0.97,IF(G147&lt;=30,0.9,IF(G147&lt;=60,0.72,IF(G147&lt;=90,0.5,0.25)))))</f>
        <v/>
      </c>
      <c r="J147" s="15">
        <f>IF(F147="Pago",0,IF(C147="",0,C147*I147))</f>
        <v/>
      </c>
      <c r="K147" s="14">
        <f>IF(F147="Pago","—",IF(G147=0,"Lembrete gentil",IF(G147&lt;=30,"Cobrar por telefone",IF(G147&lt;=60,"Negociar parcelamento",IF(G147&lt;=90,"Notificação formal","Escalar / jurídico")))))</f>
        <v/>
      </c>
      <c r="L147" s="2" t="n"/>
    </row>
    <row r="148">
      <c r="A148" s="14" t="n"/>
      <c r="B148" s="14" t="n"/>
      <c r="C148" s="15" t="n"/>
      <c r="D148" s="27" t="n"/>
      <c r="E148" s="27" t="n"/>
      <c r="F148" s="14" t="n"/>
      <c r="G148" s="14">
        <f>IF(OR(F148="Pago",E148="",E148&gt;=TODAY()),0,TODAY()-E148)</f>
        <v/>
      </c>
      <c r="H148" s="14">
        <f>IF(F148="Pago","Pago",IF(G148=0,"A vencer",IF(G148&lt;=30,"1-30",IF(G148&lt;=60,"31-60",IF(G148&lt;=90,"61-90","90+")))))</f>
        <v/>
      </c>
      <c r="I148" s="28">
        <f>IF(F148="Pago",1,IF(G148=0,0.97,IF(G148&lt;=30,0.9,IF(G148&lt;=60,0.72,IF(G148&lt;=90,0.5,0.25)))))</f>
        <v/>
      </c>
      <c r="J148" s="15">
        <f>IF(F148="Pago",0,IF(C148="",0,C148*I148))</f>
        <v/>
      </c>
      <c r="K148" s="14">
        <f>IF(F148="Pago","—",IF(G148=0,"Lembrete gentil",IF(G148&lt;=30,"Cobrar por telefone",IF(G148&lt;=60,"Negociar parcelamento",IF(G148&lt;=90,"Notificação formal","Escalar / jurídico")))))</f>
        <v/>
      </c>
      <c r="L148" s="2" t="n"/>
    </row>
    <row r="149">
      <c r="A149" s="14" t="n"/>
      <c r="B149" s="14" t="n"/>
      <c r="C149" s="15" t="n"/>
      <c r="D149" s="27" t="n"/>
      <c r="E149" s="27" t="n"/>
      <c r="F149" s="14" t="n"/>
      <c r="G149" s="14">
        <f>IF(OR(F149="Pago",E149="",E149&gt;=TODAY()),0,TODAY()-E149)</f>
        <v/>
      </c>
      <c r="H149" s="14">
        <f>IF(F149="Pago","Pago",IF(G149=0,"A vencer",IF(G149&lt;=30,"1-30",IF(G149&lt;=60,"31-60",IF(G149&lt;=90,"61-90","90+")))))</f>
        <v/>
      </c>
      <c r="I149" s="28">
        <f>IF(F149="Pago",1,IF(G149=0,0.97,IF(G149&lt;=30,0.9,IF(G149&lt;=60,0.72,IF(G149&lt;=90,0.5,0.25)))))</f>
        <v/>
      </c>
      <c r="J149" s="15">
        <f>IF(F149="Pago",0,IF(C149="",0,C149*I149))</f>
        <v/>
      </c>
      <c r="K149" s="14">
        <f>IF(F149="Pago","—",IF(G149=0,"Lembrete gentil",IF(G149&lt;=30,"Cobrar por telefone",IF(G149&lt;=60,"Negociar parcelamento",IF(G149&lt;=90,"Notificação formal","Escalar / jurídico")))))</f>
        <v/>
      </c>
      <c r="L149" s="2" t="n"/>
    </row>
    <row r="150">
      <c r="A150" s="14" t="n"/>
      <c r="B150" s="14" t="n"/>
      <c r="C150" s="15" t="n"/>
      <c r="D150" s="27" t="n"/>
      <c r="E150" s="27" t="n"/>
      <c r="F150" s="14" t="n"/>
      <c r="G150" s="14">
        <f>IF(OR(F150="Pago",E150="",E150&gt;=TODAY()),0,TODAY()-E150)</f>
        <v/>
      </c>
      <c r="H150" s="14">
        <f>IF(F150="Pago","Pago",IF(G150=0,"A vencer",IF(G150&lt;=30,"1-30",IF(G150&lt;=60,"31-60",IF(G150&lt;=90,"61-90","90+")))))</f>
        <v/>
      </c>
      <c r="I150" s="28">
        <f>IF(F150="Pago",1,IF(G150=0,0.97,IF(G150&lt;=30,0.9,IF(G150&lt;=60,0.72,IF(G150&lt;=90,0.5,0.25)))))</f>
        <v/>
      </c>
      <c r="J150" s="15">
        <f>IF(F150="Pago",0,IF(C150="",0,C150*I150))</f>
        <v/>
      </c>
      <c r="K150" s="14">
        <f>IF(F150="Pago","—",IF(G150=0,"Lembrete gentil",IF(G150&lt;=30,"Cobrar por telefone",IF(G150&lt;=60,"Negociar parcelamento",IF(G150&lt;=90,"Notificação formal","Escalar / jurídico")))))</f>
        <v/>
      </c>
      <c r="L150" s="2" t="n"/>
    </row>
    <row r="151">
      <c r="A151" s="14" t="n"/>
      <c r="B151" s="14" t="n"/>
      <c r="C151" s="15" t="n"/>
      <c r="D151" s="27" t="n"/>
      <c r="E151" s="27" t="n"/>
      <c r="F151" s="14" t="n"/>
      <c r="G151" s="14">
        <f>IF(OR(F151="Pago",E151="",E151&gt;=TODAY()),0,TODAY()-E151)</f>
        <v/>
      </c>
      <c r="H151" s="14">
        <f>IF(F151="Pago","Pago",IF(G151=0,"A vencer",IF(G151&lt;=30,"1-30",IF(G151&lt;=60,"31-60",IF(G151&lt;=90,"61-90","90+")))))</f>
        <v/>
      </c>
      <c r="I151" s="28">
        <f>IF(F151="Pago",1,IF(G151=0,0.97,IF(G151&lt;=30,0.9,IF(G151&lt;=60,0.72,IF(G151&lt;=90,0.5,0.25)))))</f>
        <v/>
      </c>
      <c r="J151" s="15">
        <f>IF(F151="Pago",0,IF(C151="",0,C151*I151))</f>
        <v/>
      </c>
      <c r="K151" s="14">
        <f>IF(F151="Pago","—",IF(G151=0,"Lembrete gentil",IF(G151&lt;=30,"Cobrar por telefone",IF(G151&lt;=60,"Negociar parcelamento",IF(G151&lt;=90,"Notificação formal","Escalar / jurídico")))))</f>
        <v/>
      </c>
      <c r="L151" s="2" t="n"/>
    </row>
    <row r="152">
      <c r="A152" s="14" t="n"/>
      <c r="B152" s="14" t="n"/>
      <c r="C152" s="15" t="n"/>
      <c r="D152" s="27" t="n"/>
      <c r="E152" s="27" t="n"/>
      <c r="F152" s="14" t="n"/>
      <c r="G152" s="14">
        <f>IF(OR(F152="Pago",E152="",E152&gt;=TODAY()),0,TODAY()-E152)</f>
        <v/>
      </c>
      <c r="H152" s="14">
        <f>IF(F152="Pago","Pago",IF(G152=0,"A vencer",IF(G152&lt;=30,"1-30",IF(G152&lt;=60,"31-60",IF(G152&lt;=90,"61-90","90+")))))</f>
        <v/>
      </c>
      <c r="I152" s="28">
        <f>IF(F152="Pago",1,IF(G152=0,0.97,IF(G152&lt;=30,0.9,IF(G152&lt;=60,0.72,IF(G152&lt;=90,0.5,0.25)))))</f>
        <v/>
      </c>
      <c r="J152" s="15">
        <f>IF(F152="Pago",0,IF(C152="",0,C152*I152))</f>
        <v/>
      </c>
      <c r="K152" s="14">
        <f>IF(F152="Pago","—",IF(G152=0,"Lembrete gentil",IF(G152&lt;=30,"Cobrar por telefone",IF(G152&lt;=60,"Negociar parcelamento",IF(G152&lt;=90,"Notificação formal","Escalar / jurídico")))))</f>
        <v/>
      </c>
      <c r="L152" s="2" t="n"/>
    </row>
    <row r="153">
      <c r="A153" s="14" t="n"/>
      <c r="B153" s="14" t="n"/>
      <c r="C153" s="15" t="n"/>
      <c r="D153" s="27" t="n"/>
      <c r="E153" s="27" t="n"/>
      <c r="F153" s="14" t="n"/>
      <c r="G153" s="14">
        <f>IF(OR(F153="Pago",E153="",E153&gt;=TODAY()),0,TODAY()-E153)</f>
        <v/>
      </c>
      <c r="H153" s="14">
        <f>IF(F153="Pago","Pago",IF(G153=0,"A vencer",IF(G153&lt;=30,"1-30",IF(G153&lt;=60,"31-60",IF(G153&lt;=90,"61-90","90+")))))</f>
        <v/>
      </c>
      <c r="I153" s="28">
        <f>IF(F153="Pago",1,IF(G153=0,0.97,IF(G153&lt;=30,0.9,IF(G153&lt;=60,0.72,IF(G153&lt;=90,0.5,0.25)))))</f>
        <v/>
      </c>
      <c r="J153" s="15">
        <f>IF(F153="Pago",0,IF(C153="",0,C153*I153))</f>
        <v/>
      </c>
      <c r="K153" s="14">
        <f>IF(F153="Pago","—",IF(G153=0,"Lembrete gentil",IF(G153&lt;=30,"Cobrar por telefone",IF(G153&lt;=60,"Negociar parcelamento",IF(G153&lt;=90,"Notificação formal","Escalar / jurídico")))))</f>
        <v/>
      </c>
      <c r="L153" s="2" t="n"/>
    </row>
    <row r="154">
      <c r="A154" s="14" t="n"/>
      <c r="B154" s="14" t="n"/>
      <c r="C154" s="15" t="n"/>
      <c r="D154" s="27" t="n"/>
      <c r="E154" s="27" t="n"/>
      <c r="F154" s="14" t="n"/>
      <c r="G154" s="14">
        <f>IF(OR(F154="Pago",E154="",E154&gt;=TODAY()),0,TODAY()-E154)</f>
        <v/>
      </c>
      <c r="H154" s="14">
        <f>IF(F154="Pago","Pago",IF(G154=0,"A vencer",IF(G154&lt;=30,"1-30",IF(G154&lt;=60,"31-60",IF(G154&lt;=90,"61-90","90+")))))</f>
        <v/>
      </c>
      <c r="I154" s="28">
        <f>IF(F154="Pago",1,IF(G154=0,0.97,IF(G154&lt;=30,0.9,IF(G154&lt;=60,0.72,IF(G154&lt;=90,0.5,0.25)))))</f>
        <v/>
      </c>
      <c r="J154" s="15">
        <f>IF(F154="Pago",0,IF(C154="",0,C154*I154))</f>
        <v/>
      </c>
      <c r="K154" s="14">
        <f>IF(F154="Pago","—",IF(G154=0,"Lembrete gentil",IF(G154&lt;=30,"Cobrar por telefone",IF(G154&lt;=60,"Negociar parcelamento",IF(G154&lt;=90,"Notificação formal","Escalar / jurídico")))))</f>
        <v/>
      </c>
      <c r="L154" s="2" t="n"/>
    </row>
    <row r="155">
      <c r="A155" s="14" t="n"/>
      <c r="B155" s="14" t="n"/>
      <c r="C155" s="15" t="n"/>
      <c r="D155" s="27" t="n"/>
      <c r="E155" s="27" t="n"/>
      <c r="F155" s="14" t="n"/>
      <c r="G155" s="14">
        <f>IF(OR(F155="Pago",E155="",E155&gt;=TODAY()),0,TODAY()-E155)</f>
        <v/>
      </c>
      <c r="H155" s="14">
        <f>IF(F155="Pago","Pago",IF(G155=0,"A vencer",IF(G155&lt;=30,"1-30",IF(G155&lt;=60,"31-60",IF(G155&lt;=90,"61-90","90+")))))</f>
        <v/>
      </c>
      <c r="I155" s="28">
        <f>IF(F155="Pago",1,IF(G155=0,0.97,IF(G155&lt;=30,0.9,IF(G155&lt;=60,0.72,IF(G155&lt;=90,0.5,0.25)))))</f>
        <v/>
      </c>
      <c r="J155" s="15">
        <f>IF(F155="Pago",0,IF(C155="",0,C155*I155))</f>
        <v/>
      </c>
      <c r="K155" s="14">
        <f>IF(F155="Pago","—",IF(G155=0,"Lembrete gentil",IF(G155&lt;=30,"Cobrar por telefone",IF(G155&lt;=60,"Negociar parcelamento",IF(G155&lt;=90,"Notificação formal","Escalar / jurídico")))))</f>
        <v/>
      </c>
      <c r="L155" s="2" t="n"/>
    </row>
    <row r="156">
      <c r="A156" s="14" t="n"/>
      <c r="B156" s="14" t="n"/>
      <c r="C156" s="15" t="n"/>
      <c r="D156" s="27" t="n"/>
      <c r="E156" s="27" t="n"/>
      <c r="F156" s="14" t="n"/>
      <c r="G156" s="14">
        <f>IF(OR(F156="Pago",E156="",E156&gt;=TODAY()),0,TODAY()-E156)</f>
        <v/>
      </c>
      <c r="H156" s="14">
        <f>IF(F156="Pago","Pago",IF(G156=0,"A vencer",IF(G156&lt;=30,"1-30",IF(G156&lt;=60,"31-60",IF(G156&lt;=90,"61-90","90+")))))</f>
        <v/>
      </c>
      <c r="I156" s="28">
        <f>IF(F156="Pago",1,IF(G156=0,0.97,IF(G156&lt;=30,0.9,IF(G156&lt;=60,0.72,IF(G156&lt;=90,0.5,0.25)))))</f>
        <v/>
      </c>
      <c r="J156" s="15">
        <f>IF(F156="Pago",0,IF(C156="",0,C156*I156))</f>
        <v/>
      </c>
      <c r="K156" s="14">
        <f>IF(F156="Pago","—",IF(G156=0,"Lembrete gentil",IF(G156&lt;=30,"Cobrar por telefone",IF(G156&lt;=60,"Negociar parcelamento",IF(G156&lt;=90,"Notificação formal","Escalar / jurídico")))))</f>
        <v/>
      </c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</sheetData>
  <mergeCells count="3">
    <mergeCell ref="A2:K2"/>
    <mergeCell ref="A1:K1"/>
    <mergeCell ref="A3:K3"/>
  </mergeCells>
  <conditionalFormatting sqref="G6:G156">
    <cfRule type="colorScale" priority="1">
      <colorScale>
        <cfvo type="num" val="0"/>
        <cfvo type="num" val="45"/>
        <cfvo type="num" val="90"/>
        <color rgb="002E9E5B"/>
        <color rgb="00E0A94B"/>
        <color rgb="00D9534F"/>
      </colorScale>
    </cfRule>
  </conditionalFormatting>
  <conditionalFormatting sqref="K6:K156">
    <cfRule type="cellIs" priority="2" operator="equal" dxfId="2">
      <formula>"Escalar / jurídico"</formula>
    </cfRule>
  </conditionalFormatting>
  <dataValidations count="1">
    <dataValidation sqref="F6:F156" showDropDown="0" showInputMessage="0" showErrorMessage="0" allowBlank="1" errorTitle="Valor inválido" error="Selecione um valor da lista" promptTitle="Trust Excel" prompt="Escolha uma opção" type="list">
      <formula1>"Em aberto,Pago"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2026-07-22T18:16:57Z</dcterms:created>
  <dcterms:modified xmlns:dcterms="http://purl.org/dc/terms/" xmlns:xsi="http://www.w3.org/2001/XMLSchema-instance" xsi:type="dcterms:W3CDTF">2026-07-22T18:16:58Z</dcterms:modified>
</cp:coreProperties>
</file>