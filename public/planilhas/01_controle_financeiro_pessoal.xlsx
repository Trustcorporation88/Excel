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CAMEN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R$ #,##0.00"/>
    <numFmt numFmtId="167" formatCode="MMM/YYYY"/>
    <numFmt numFmtId="168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C99C66"/>
      <sz val="11"/>
    </font>
    <font>
      <name val="Calibri"/>
      <b val="1"/>
      <color rgb="000A1322"/>
      <sz val="20"/>
    </font>
    <font>
      <name val="Calibri"/>
      <color rgb="008593A8"/>
      <sz val="11"/>
    </font>
    <font>
      <name val="Calibri"/>
      <b val="1"/>
      <color rgb="00FFFFFF"/>
      <sz val="11"/>
    </font>
    <font>
      <b val="1"/>
      <color rgb="000A1322"/>
    </font>
    <font>
      <b val="1"/>
      <color rgb="008593A8"/>
    </font>
    <font>
      <name val="Calibri"/>
      <b val="1"/>
      <color rgb="008593A8"/>
      <sz val="10"/>
    </font>
    <font>
      <name val="Calibri"/>
      <b val="1"/>
      <color rgb="000A1322"/>
      <sz val="18"/>
    </font>
    <font>
      <name val="Calibri"/>
      <b val="1"/>
      <color rgb="00065F46"/>
      <sz val="18"/>
    </font>
    <font>
      <b val="1"/>
      <color rgb="000A1322"/>
      <sz val="13"/>
    </font>
    <font>
      <b val="1"/>
      <color rgb="00C99C66"/>
      <sz val="11"/>
    </font>
    <font>
      <b val="1"/>
      <color rgb="00065F46"/>
      <sz val="11"/>
    </font>
    <font>
      <i val="1"/>
      <color rgb="008593A8"/>
      <sz val="10"/>
    </font>
  </fonts>
  <fills count="9">
    <fill>
      <patternFill/>
    </fill>
    <fill>
      <patternFill patternType="gray125"/>
    </fill>
    <fill>
      <patternFill patternType="solid">
        <fgColor rgb="000A1322"/>
      </patternFill>
    </fill>
    <fill>
      <patternFill patternType="solid">
        <fgColor rgb="00F8F4EE"/>
      </patternFill>
    </fill>
    <fill>
      <patternFill patternType="solid">
        <fgColor rgb="00FFFFFF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E8D0A8"/>
      </patternFill>
    </fill>
    <fill>
      <patternFill patternType="solid">
        <fgColor rgb="00ECFDF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pivotButton="0" quotePrefix="0" xfId="0"/>
    <xf numFmtId="167" fontId="5" fillId="7" borderId="1" pivotButton="0" quotePrefix="0" xfId="0"/>
    <xf numFmtId="0" fontId="7" fillId="3" borderId="1" pivotButton="0" quotePrefix="0" xfId="0"/>
    <xf numFmtId="166" fontId="8" fillId="4" borderId="1" pivotButton="0" quotePrefix="0" xfId="0"/>
    <xf numFmtId="166" fontId="9" fillId="4" borderId="1" pivotButton="0" quotePrefix="0" xfId="0"/>
    <xf numFmtId="168" fontId="8" fillId="0" borderId="1" pivotButton="0" quotePrefix="0" xfId="0"/>
    <xf numFmtId="0" fontId="1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6" fontId="0" fillId="3" borderId="1" pivotButton="0" quotePrefix="0" xfId="0"/>
    <xf numFmtId="168" fontId="0" fillId="3" borderId="1" pivotButton="0" quotePrefix="0" xfId="0"/>
    <xf numFmtId="0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0" fontId="11" fillId="0" borderId="0" pivotButton="0" quotePrefix="0" xfId="0"/>
    <xf numFmtId="0" fontId="12" fillId="8" borderId="0" applyAlignment="1" pivotButton="0" quotePrefix="0" xfId="0">
      <alignment vertical="center" wrapText="1"/>
    </xf>
    <xf numFmtId="0" fontId="13" fillId="0" borderId="0" pivotButton="0" quotePrefix="0" xfId="0"/>
    <xf numFmtId="0" fontId="0" fillId="4" borderId="1" pivotButton="0" quotePrefix="0" xfId="0"/>
    <xf numFmtId="165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Saídas por categoria</a:t>
            </a:r>
          </a:p>
        </rich>
      </tx>
    </title>
    <plotArea>
      <doughnutChart>
        <varyColors val="1"/>
        <ser>
          <idx val="0"/>
          <order val="0"/>
          <tx>
            <strRef>
              <f>'PAINEL'!B11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'PAINEL'!$A$12:$A$22</f>
            </numRef>
          </cat>
          <val>
            <numRef>
              <f>'PAINEL'!$B$12:$B$22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15" customWidth="1" min="5" max="5"/>
    <col width="12" customWidth="1" min="6" max="6"/>
    <col width="20" customWidth="1" min="7" max="7"/>
    <col width="12" customWidth="1" min="8" max="8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Dashboard Financeiro Pessoal</t>
        </is>
      </c>
    </row>
    <row r="3">
      <c r="A3" s="3" t="inlineStr">
        <is>
          <t>Totais do mês · ranking de categorias · gráfico visual</t>
        </is>
      </c>
    </row>
    <row r="4"/>
    <row r="5">
      <c r="A5" s="4" t="inlineStr">
        <is>
          <t>Mês de referência</t>
        </is>
      </c>
      <c r="B5" s="5" t="n">
        <v>46204</v>
      </c>
    </row>
    <row r="6"/>
    <row r="7">
      <c r="A7" s="6" t="inlineStr">
        <is>
          <t>TOTAL ENTRADAS</t>
        </is>
      </c>
      <c r="C7" s="6" t="inlineStr">
        <is>
          <t>TOTAL SAÍDAS</t>
        </is>
      </c>
      <c r="E7" s="6" t="inlineStr">
        <is>
          <t>SALDO DO MÊS</t>
        </is>
      </c>
      <c r="G7" s="6" t="inlineStr">
        <is>
          <t>TAXA DE GASTO</t>
        </is>
      </c>
    </row>
    <row r="8" ht="32" customHeight="1">
      <c r="A8" s="7">
        <f>SUMIFS(LANCAMENTOS!E:E,LANCAMENTOS!D:D,"Entrada",LANCAMENTOS!A:A,"&gt;="&amp;$B$5,LANCAMENTOS!A:A,"&lt;="&amp;EOMONTH($B$5,0))</f>
        <v/>
      </c>
      <c r="C8" s="7">
        <f>SUMIFS(LANCAMENTOS!E:E,LANCAMENTOS!D:D,"Saída",LANCAMENTOS!A:A,"&gt;="&amp;$B$5,LANCAMENTOS!A:A,"&lt;="&amp;EOMONTH($B$5,0))</f>
        <v/>
      </c>
      <c r="E8" s="8">
        <f>A8-C8</f>
        <v/>
      </c>
      <c r="G8" s="9">
        <f>IFERROR(C8/A8,0)</f>
        <v/>
      </c>
    </row>
    <row r="9"/>
    <row r="10">
      <c r="A10" s="10" t="inlineStr">
        <is>
          <t>GASTOS POR CATEGORIA</t>
        </is>
      </c>
    </row>
    <row r="11" ht="22" customHeight="1">
      <c r="A11" s="11" t="inlineStr">
        <is>
          <t>Categoria</t>
        </is>
      </c>
      <c r="B11" s="11" t="inlineStr">
        <is>
          <t>Total</t>
        </is>
      </c>
      <c r="C11" s="11" t="inlineStr">
        <is>
          <t>% do gasto</t>
        </is>
      </c>
      <c r="D11" s="11" t="inlineStr">
        <is>
          <t>Barra</t>
        </is>
      </c>
    </row>
    <row r="12">
      <c r="A12" s="12">
        <f>IF(CATEGORIAS!A6="","",CATEGORIAS!A6)</f>
        <v/>
      </c>
      <c r="B12" s="13">
        <f>IF(A12="","",SUMIFS(LANCAMENTOS!E:E,LANCAMENTOS!B:B,A12,LANCAMENTOS!D:D,"Saída",LANCAMENTOS!A:A,"&gt;="&amp;$B$5,LANCAMENTOS!A:A,"&lt;="&amp;EOMONTH($B$5,0)))</f>
        <v/>
      </c>
      <c r="C12" s="14">
        <f>IF(OR(A12="",$C$8=0),"",B12/$C$8)</f>
        <v/>
      </c>
      <c r="D12" s="12">
        <f>IF(C12="","",REPT("█",ROUNDDOWN(C12*20,0))&amp;REPT("░",20-ROUNDDOWN(C12*20,0)))</f>
        <v/>
      </c>
    </row>
    <row r="13">
      <c r="A13" s="15">
        <f>IF(CATEGORIAS!A7="","",CATEGORIAS!A7)</f>
        <v/>
      </c>
      <c r="B13" s="16">
        <f>IF(A13="","",SUMIFS(LANCAMENTOS!E:E,LANCAMENTOS!B:B,A13,LANCAMENTOS!D:D,"Saída",LANCAMENTOS!A:A,"&gt;="&amp;$B$5,LANCAMENTOS!A:A,"&lt;="&amp;EOMONTH($B$5,0)))</f>
        <v/>
      </c>
      <c r="C13" s="17">
        <f>IF(OR(A13="",$C$8=0),"",B13/$C$8)</f>
        <v/>
      </c>
      <c r="D13" s="15">
        <f>IF(C13="","",REPT("█",ROUNDDOWN(C13*20,0))&amp;REPT("░",20-ROUNDDOWN(C13*20,0)))</f>
        <v/>
      </c>
    </row>
    <row r="14">
      <c r="A14" s="12">
        <f>IF(CATEGORIAS!A8="","",CATEGORIAS!A8)</f>
        <v/>
      </c>
      <c r="B14" s="13">
        <f>IF(A14="","",SUMIFS(LANCAMENTOS!E:E,LANCAMENTOS!B:B,A14,LANCAMENTOS!D:D,"Saída",LANCAMENTOS!A:A,"&gt;="&amp;$B$5,LANCAMENTOS!A:A,"&lt;="&amp;EOMONTH($B$5,0)))</f>
        <v/>
      </c>
      <c r="C14" s="14">
        <f>IF(OR(A14="",$C$8=0),"",B14/$C$8)</f>
        <v/>
      </c>
      <c r="D14" s="12">
        <f>IF(C14="","",REPT("█",ROUNDDOWN(C14*20,0))&amp;REPT("░",20-ROUNDDOWN(C14*20,0)))</f>
        <v/>
      </c>
    </row>
    <row r="15">
      <c r="A15" s="15">
        <f>IF(CATEGORIAS!A9="","",CATEGORIAS!A9)</f>
        <v/>
      </c>
      <c r="B15" s="16">
        <f>IF(A15="","",SUMIFS(LANCAMENTOS!E:E,LANCAMENTOS!B:B,A15,LANCAMENTOS!D:D,"Saída",LANCAMENTOS!A:A,"&gt;="&amp;$B$5,LANCAMENTOS!A:A,"&lt;="&amp;EOMONTH($B$5,0)))</f>
        <v/>
      </c>
      <c r="C15" s="17">
        <f>IF(OR(A15="",$C$8=0),"",B15/$C$8)</f>
        <v/>
      </c>
      <c r="D15" s="15">
        <f>IF(C15="","",REPT("█",ROUNDDOWN(C15*20,0))&amp;REPT("░",20-ROUNDDOWN(C15*20,0)))</f>
        <v/>
      </c>
    </row>
    <row r="16">
      <c r="A16" s="12">
        <f>IF(CATEGORIAS!A10="","",CATEGORIAS!A10)</f>
        <v/>
      </c>
      <c r="B16" s="13">
        <f>IF(A16="","",SUMIFS(LANCAMENTOS!E:E,LANCAMENTOS!B:B,A16,LANCAMENTOS!D:D,"Saída",LANCAMENTOS!A:A,"&gt;="&amp;$B$5,LANCAMENTOS!A:A,"&lt;="&amp;EOMONTH($B$5,0)))</f>
        <v/>
      </c>
      <c r="C16" s="14">
        <f>IF(OR(A16="",$C$8=0),"",B16/$C$8)</f>
        <v/>
      </c>
      <c r="D16" s="12">
        <f>IF(C16="","",REPT("█",ROUNDDOWN(C16*20,0))&amp;REPT("░",20-ROUNDDOWN(C16*20,0)))</f>
        <v/>
      </c>
    </row>
    <row r="17">
      <c r="A17" s="15">
        <f>IF(CATEGORIAS!A11="","",CATEGORIAS!A11)</f>
        <v/>
      </c>
      <c r="B17" s="16">
        <f>IF(A17="","",SUMIFS(LANCAMENTOS!E:E,LANCAMENTOS!B:B,A17,LANCAMENTOS!D:D,"Saída",LANCAMENTOS!A:A,"&gt;="&amp;$B$5,LANCAMENTOS!A:A,"&lt;="&amp;EOMONTH($B$5,0)))</f>
        <v/>
      </c>
      <c r="C17" s="17">
        <f>IF(OR(A17="",$C$8=0),"",B17/$C$8)</f>
        <v/>
      </c>
      <c r="D17" s="15">
        <f>IF(C17="","",REPT("█",ROUNDDOWN(C17*20,0))&amp;REPT("░",20-ROUNDDOWN(C17*20,0)))</f>
        <v/>
      </c>
    </row>
    <row r="18">
      <c r="A18" s="12">
        <f>IF(CATEGORIAS!A12="","",CATEGORIAS!A12)</f>
        <v/>
      </c>
      <c r="B18" s="13">
        <f>IF(A18="","",SUMIFS(LANCAMENTOS!E:E,LANCAMENTOS!B:B,A18,LANCAMENTOS!D:D,"Saída",LANCAMENTOS!A:A,"&gt;="&amp;$B$5,LANCAMENTOS!A:A,"&lt;="&amp;EOMONTH($B$5,0)))</f>
        <v/>
      </c>
      <c r="C18" s="14">
        <f>IF(OR(A18="",$C$8=0),"",B18/$C$8)</f>
        <v/>
      </c>
      <c r="D18" s="12">
        <f>IF(C18="","",REPT("█",ROUNDDOWN(C18*20,0))&amp;REPT("░",20-ROUNDDOWN(C18*20,0)))</f>
        <v/>
      </c>
    </row>
    <row r="19">
      <c r="A19" s="15">
        <f>IF(CATEGORIAS!A13="","",CATEGORIAS!A13)</f>
        <v/>
      </c>
      <c r="B19" s="16">
        <f>IF(A19="","",SUMIFS(LANCAMENTOS!E:E,LANCAMENTOS!B:B,A19,LANCAMENTOS!D:D,"Saída",LANCAMENTOS!A:A,"&gt;="&amp;$B$5,LANCAMENTOS!A:A,"&lt;="&amp;EOMONTH($B$5,0)))</f>
        <v/>
      </c>
      <c r="C19" s="17">
        <f>IF(OR(A19="",$C$8=0),"",B19/$C$8)</f>
        <v/>
      </c>
      <c r="D19" s="15">
        <f>IF(C19="","",REPT("█",ROUNDDOWN(C19*20,0))&amp;REPT("░",20-ROUNDDOWN(C19*20,0)))</f>
        <v/>
      </c>
    </row>
    <row r="20">
      <c r="A20" s="12">
        <f>IF(CATEGORIAS!A14="","",CATEGORIAS!A14)</f>
        <v/>
      </c>
      <c r="B20" s="13">
        <f>IF(A20="","",SUMIFS(LANCAMENTOS!E:E,LANCAMENTOS!B:B,A20,LANCAMENTOS!D:D,"Saída",LANCAMENTOS!A:A,"&gt;="&amp;$B$5,LANCAMENTOS!A:A,"&lt;="&amp;EOMONTH($B$5,0)))</f>
        <v/>
      </c>
      <c r="C20" s="14">
        <f>IF(OR(A20="",$C$8=0),"",B20/$C$8)</f>
        <v/>
      </c>
      <c r="D20" s="12">
        <f>IF(C20="","",REPT("█",ROUNDDOWN(C20*20,0))&amp;REPT("░",20-ROUNDDOWN(C20*20,0)))</f>
        <v/>
      </c>
    </row>
    <row r="21">
      <c r="A21" s="15">
        <f>IF(CATEGORIAS!A15="","",CATEGORIAS!A15)</f>
        <v/>
      </c>
      <c r="B21" s="16">
        <f>IF(A21="","",SUMIFS(LANCAMENTOS!E:E,LANCAMENTOS!B:B,A21,LANCAMENTOS!D:D,"Saída",LANCAMENTOS!A:A,"&gt;="&amp;$B$5,LANCAMENTOS!A:A,"&lt;="&amp;EOMONTH($B$5,0)))</f>
        <v/>
      </c>
      <c r="C21" s="17">
        <f>IF(OR(A21="",$C$8=0),"",B21/$C$8)</f>
        <v/>
      </c>
      <c r="D21" s="15">
        <f>IF(C21="","",REPT("█",ROUNDDOWN(C21*20,0))&amp;REPT("░",20-ROUNDDOWN(C21*20,0)))</f>
        <v/>
      </c>
    </row>
    <row r="22">
      <c r="A22" s="12">
        <f>IF(CATEGORIAS!A16="","",CATEGORIAS!A16)</f>
        <v/>
      </c>
      <c r="B22" s="13">
        <f>IF(A22="","",SUMIFS(LANCAMENTOS!E:E,LANCAMENTOS!B:B,A22,LANCAMENTOS!D:D,"Saída",LANCAMENTOS!A:A,"&gt;="&amp;$B$5,LANCAMENTOS!A:A,"&lt;="&amp;EOMONTH($B$5,0)))</f>
        <v/>
      </c>
      <c r="C22" s="14">
        <f>IF(OR(A22="",$C$8=0),"",B22/$C$8)</f>
        <v/>
      </c>
      <c r="D22" s="12">
        <f>IF(C22="","",REPT("█",ROUNDDOWN(C22*20,0))&amp;REPT("░",20-ROUNDDOWN(C22*20,0)))</f>
        <v/>
      </c>
    </row>
    <row r="23"/>
    <row r="24"/>
    <row r="25">
      <c r="A25" s="18" t="inlineStr">
        <is>
          <t>INSIGHT AUTOMÁTICO</t>
        </is>
      </c>
    </row>
    <row r="26">
      <c r="A26" s="19">
        <f>CONCATENATE("Maior categoria de gasto: ",INDEX(A12:A22,MATCH(MAX(B12:B22),B12:B22,0))," com ",TEXT(MAX(B12:B22),"R$ #,##0.00")," (",TEXT(MAX(C12:C22),"0%")," do total).")</f>
        <v/>
      </c>
    </row>
    <row r="27"/>
    <row r="28"/>
    <row r="29">
      <c r="A29" s="20" t="inlineStr">
        <is>
          <t>Automação TrustCorp: preencha LANCAMENTOS com listas suspensas. O dashboard recalcula totais, ranking, barras e gráfico.</t>
        </is>
      </c>
    </row>
  </sheetData>
  <mergeCells count="4">
    <mergeCell ref="A26:E27"/>
    <mergeCell ref="A3:H3"/>
    <mergeCell ref="A2:H2"/>
    <mergeCell ref="A1:H1"/>
  </mergeCells>
  <conditionalFormatting sqref="B12:B22">
    <cfRule type="colorScale" priority="1">
      <colorScale>
        <cfvo type="min"/>
        <cfvo type="max"/>
        <color rgb="00FEF3C7"/>
        <color rgb="00EF444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Categorias</t>
        </is>
      </c>
    </row>
    <row r="3">
      <c r="A3" s="3" t="inlineStr">
        <is>
          <t>Lista-mestre para validação dos lançamentos</t>
        </is>
      </c>
    </row>
    <row r="4"/>
    <row r="5" ht="22" customHeight="1">
      <c r="A5" s="11" t="inlineStr">
        <is>
          <t>Categoria</t>
        </is>
      </c>
    </row>
    <row r="6">
      <c r="A6" s="12" t="inlineStr">
        <is>
          <t>Moradia</t>
        </is>
      </c>
    </row>
    <row r="7">
      <c r="A7" s="21" t="inlineStr">
        <is>
          <t>Alimentação</t>
        </is>
      </c>
    </row>
    <row r="8">
      <c r="A8" s="12" t="inlineStr">
        <is>
          <t>Transporte</t>
        </is>
      </c>
    </row>
    <row r="9">
      <c r="A9" s="21" t="inlineStr">
        <is>
          <t>Lazer</t>
        </is>
      </c>
    </row>
    <row r="10">
      <c r="A10" s="12" t="inlineStr">
        <is>
          <t>Assinaturas</t>
        </is>
      </c>
    </row>
    <row r="11">
      <c r="A11" s="21" t="inlineStr">
        <is>
          <t>Saúde</t>
        </is>
      </c>
    </row>
    <row r="12">
      <c r="A12" s="12" t="inlineStr">
        <is>
          <t>Educação</t>
        </is>
      </c>
    </row>
    <row r="13">
      <c r="A13" s="21" t="inlineStr">
        <is>
          <t>Salário</t>
        </is>
      </c>
    </row>
    <row r="14">
      <c r="A14" s="12" t="inlineStr">
        <is>
          <t>Freelance</t>
        </is>
      </c>
    </row>
    <row r="15">
      <c r="A15" s="21" t="inlineStr">
        <is>
          <t>Investimentos</t>
        </is>
      </c>
    </row>
    <row r="16">
      <c r="A16" s="12" t="inlineStr">
        <is>
          <t>Outros</t>
        </is>
      </c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4" customWidth="1" min="3" max="3"/>
    <col width="12" customWidth="1" min="4" max="4"/>
    <col width="12" customWidth="1" min="5" max="5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Lançamentos</t>
        </is>
      </c>
    </row>
    <row r="3">
      <c r="A3" s="3" t="inlineStr">
        <is>
          <t>Preencha aqui · o painel atualiza sozinho</t>
        </is>
      </c>
    </row>
    <row r="4"/>
    <row r="5" ht="22" customHeight="1">
      <c r="A5" s="11" t="inlineStr">
        <is>
          <t>Data</t>
        </is>
      </c>
      <c r="B5" s="11" t="inlineStr">
        <is>
          <t>Categoria</t>
        </is>
      </c>
      <c r="C5" s="11" t="inlineStr">
        <is>
          <t>Descrição</t>
        </is>
      </c>
      <c r="D5" s="11" t="inlineStr">
        <is>
          <t>Tipo</t>
        </is>
      </c>
      <c r="E5" s="11" t="inlineStr">
        <is>
          <t>Valor</t>
        </is>
      </c>
    </row>
    <row r="6">
      <c r="A6" s="22" t="n">
        <v>46205</v>
      </c>
      <c r="B6" s="15" t="inlineStr">
        <is>
          <t>Salário</t>
        </is>
      </c>
      <c r="C6" s="15" t="inlineStr">
        <is>
          <t>Salário mensal</t>
        </is>
      </c>
      <c r="D6" s="23" t="inlineStr">
        <is>
          <t>Entrada</t>
        </is>
      </c>
      <c r="E6" s="16" t="n">
        <v>9200</v>
      </c>
    </row>
    <row r="7">
      <c r="A7" s="22" t="n">
        <v>46206</v>
      </c>
      <c r="B7" s="15" t="inlineStr">
        <is>
          <t>Moradia</t>
        </is>
      </c>
      <c r="C7" s="15" t="inlineStr">
        <is>
          <t>Aluguel + condomínio</t>
        </is>
      </c>
      <c r="D7" s="24" t="inlineStr">
        <is>
          <t>Saída</t>
        </is>
      </c>
      <c r="E7" s="16" t="n">
        <v>2450</v>
      </c>
    </row>
    <row r="8">
      <c r="A8" s="22" t="n">
        <v>46207</v>
      </c>
      <c r="B8" s="15" t="inlineStr">
        <is>
          <t>Alimentação</t>
        </is>
      </c>
      <c r="C8" s="15" t="inlineStr">
        <is>
          <t>Mercado mensal</t>
        </is>
      </c>
      <c r="D8" s="24" t="inlineStr">
        <is>
          <t>Saída</t>
        </is>
      </c>
      <c r="E8" s="16" t="n">
        <v>780.4</v>
      </c>
    </row>
    <row r="9">
      <c r="A9" s="22" t="n">
        <v>46208</v>
      </c>
      <c r="B9" s="15" t="inlineStr">
        <is>
          <t>Assinaturas</t>
        </is>
      </c>
      <c r="C9" s="15" t="inlineStr">
        <is>
          <t>Softwares e streaming</t>
        </is>
      </c>
      <c r="D9" s="24" t="inlineStr">
        <is>
          <t>Saída</t>
        </is>
      </c>
      <c r="E9" s="16" t="n">
        <v>219.9</v>
      </c>
    </row>
    <row r="10">
      <c r="A10" s="22" t="n">
        <v>46209</v>
      </c>
      <c r="B10" s="15" t="inlineStr">
        <is>
          <t>Transporte</t>
        </is>
      </c>
      <c r="C10" s="15" t="inlineStr">
        <is>
          <t>Combustível / app</t>
        </is>
      </c>
      <c r="D10" s="24" t="inlineStr">
        <is>
          <t>Saída</t>
        </is>
      </c>
      <c r="E10" s="16" t="n">
        <v>360</v>
      </c>
    </row>
    <row r="11">
      <c r="A11" s="22" t="n">
        <v>46210</v>
      </c>
      <c r="B11" s="15" t="inlineStr">
        <is>
          <t>Freelance</t>
        </is>
      </c>
      <c r="C11" s="15" t="inlineStr">
        <is>
          <t>Projeto cliente A</t>
        </is>
      </c>
      <c r="D11" s="23" t="inlineStr">
        <is>
          <t>Entrada</t>
        </is>
      </c>
      <c r="E11" s="16" t="n">
        <v>1800</v>
      </c>
    </row>
    <row r="12">
      <c r="A12" s="22" t="n">
        <v>46211</v>
      </c>
      <c r="B12" s="15" t="inlineStr">
        <is>
          <t>Lazer</t>
        </is>
      </c>
      <c r="C12" s="15" t="inlineStr">
        <is>
          <t>Restaurante</t>
        </is>
      </c>
      <c r="D12" s="24" t="inlineStr">
        <is>
          <t>Saída</t>
        </is>
      </c>
      <c r="E12" s="16" t="n">
        <v>240</v>
      </c>
    </row>
    <row r="13">
      <c r="A13" s="22" t="n">
        <v>46212</v>
      </c>
      <c r="B13" s="15" t="inlineStr">
        <is>
          <t>Saúde</t>
        </is>
      </c>
      <c r="C13" s="15" t="inlineStr">
        <is>
          <t>Farmácia / consulta</t>
        </is>
      </c>
      <c r="D13" s="24" t="inlineStr">
        <is>
          <t>Saída</t>
        </is>
      </c>
      <c r="E13" s="16" t="n">
        <v>145.5</v>
      </c>
    </row>
    <row r="14">
      <c r="A14" s="22" t="n">
        <v>46214</v>
      </c>
      <c r="B14" s="15" t="inlineStr">
        <is>
          <t>Alimentação</t>
        </is>
      </c>
      <c r="C14" s="15" t="inlineStr">
        <is>
          <t>Delivery</t>
        </is>
      </c>
      <c r="D14" s="24" t="inlineStr">
        <is>
          <t>Saída</t>
        </is>
      </c>
      <c r="E14" s="16" t="n">
        <v>96</v>
      </c>
    </row>
    <row r="15">
      <c r="A15" s="22" t="n">
        <v>46216</v>
      </c>
      <c r="B15" s="15" t="inlineStr">
        <is>
          <t>Investimentos</t>
        </is>
      </c>
      <c r="C15" s="15" t="inlineStr">
        <is>
          <t>Aporte mensal</t>
        </is>
      </c>
      <c r="D15" s="24" t="inlineStr">
        <is>
          <t>Saída</t>
        </is>
      </c>
      <c r="E15" s="16" t="n">
        <v>800</v>
      </c>
    </row>
    <row r="16">
      <c r="A16" s="22" t="n">
        <v>46218</v>
      </c>
      <c r="B16" s="15" t="inlineStr">
        <is>
          <t>Educação</t>
        </is>
      </c>
      <c r="C16" s="15" t="inlineStr">
        <is>
          <t>Curso / livro</t>
        </is>
      </c>
      <c r="D16" s="24" t="inlineStr">
        <is>
          <t>Saída</t>
        </is>
      </c>
      <c r="E16" s="16" t="n">
        <v>189</v>
      </c>
    </row>
    <row r="17">
      <c r="A17" s="22" t="n">
        <v>46220</v>
      </c>
      <c r="B17" s="15" t="inlineStr">
        <is>
          <t>Freelance</t>
        </is>
      </c>
      <c r="C17" s="15" t="inlineStr">
        <is>
          <t>Bônus entrega</t>
        </is>
      </c>
      <c r="D17" s="23" t="inlineStr">
        <is>
          <t>Entrada</t>
        </is>
      </c>
      <c r="E17" s="16" t="n">
        <v>650</v>
      </c>
    </row>
    <row r="18">
      <c r="A18" s="22" t="n"/>
      <c r="B18" s="15" t="n"/>
      <c r="C18" s="15" t="n"/>
      <c r="D18" s="15" t="n"/>
      <c r="E18" s="16" t="n"/>
    </row>
    <row r="19">
      <c r="A19" s="22" t="n"/>
      <c r="B19" s="15" t="n"/>
      <c r="C19" s="15" t="n"/>
      <c r="D19" s="15" t="n"/>
      <c r="E19" s="16" t="n"/>
    </row>
    <row r="20">
      <c r="A20" s="22" t="n"/>
      <c r="B20" s="15" t="n"/>
      <c r="C20" s="15" t="n"/>
      <c r="D20" s="15" t="n"/>
      <c r="E20" s="16" t="n"/>
    </row>
    <row r="21">
      <c r="A21" s="22" t="n"/>
      <c r="B21" s="15" t="n"/>
      <c r="C21" s="15" t="n"/>
      <c r="D21" s="15" t="n"/>
      <c r="E21" s="16" t="n"/>
    </row>
    <row r="22">
      <c r="A22" s="22" t="n"/>
      <c r="B22" s="15" t="n"/>
      <c r="C22" s="15" t="n"/>
      <c r="D22" s="15" t="n"/>
      <c r="E22" s="16" t="n"/>
    </row>
    <row r="23">
      <c r="A23" s="22" t="n"/>
      <c r="B23" s="15" t="n"/>
      <c r="C23" s="15" t="n"/>
      <c r="D23" s="15" t="n"/>
      <c r="E23" s="16" t="n"/>
    </row>
    <row r="24">
      <c r="A24" s="22" t="n"/>
      <c r="B24" s="15" t="n"/>
      <c r="C24" s="15" t="n"/>
      <c r="D24" s="15" t="n"/>
      <c r="E24" s="16" t="n"/>
    </row>
    <row r="25">
      <c r="A25" s="22" t="n"/>
      <c r="B25" s="15" t="n"/>
      <c r="C25" s="15" t="n"/>
      <c r="D25" s="15" t="n"/>
      <c r="E25" s="16" t="n"/>
    </row>
    <row r="26">
      <c r="A26" s="22" t="n"/>
      <c r="B26" s="15" t="n"/>
      <c r="C26" s="15" t="n"/>
      <c r="D26" s="15" t="n"/>
      <c r="E26" s="16" t="n"/>
    </row>
    <row r="27">
      <c r="A27" s="22" t="n"/>
      <c r="B27" s="15" t="n"/>
      <c r="C27" s="15" t="n"/>
      <c r="D27" s="15" t="n"/>
      <c r="E27" s="16" t="n"/>
    </row>
    <row r="28">
      <c r="A28" s="22" t="n"/>
      <c r="B28" s="15" t="n"/>
      <c r="C28" s="15" t="n"/>
      <c r="D28" s="15" t="n"/>
      <c r="E28" s="16" t="n"/>
    </row>
    <row r="29">
      <c r="A29" s="22" t="n"/>
      <c r="B29" s="15" t="n"/>
      <c r="C29" s="15" t="n"/>
      <c r="D29" s="15" t="n"/>
      <c r="E29" s="16" t="n"/>
    </row>
    <row r="30">
      <c r="A30" s="22" t="n"/>
      <c r="B30" s="15" t="n"/>
      <c r="C30" s="15" t="n"/>
      <c r="D30" s="15" t="n"/>
      <c r="E30" s="16" t="n"/>
    </row>
    <row r="31">
      <c r="A31" s="22" t="n"/>
      <c r="B31" s="15" t="n"/>
      <c r="C31" s="15" t="n"/>
      <c r="D31" s="15" t="n"/>
      <c r="E31" s="16" t="n"/>
    </row>
    <row r="32">
      <c r="A32" s="22" t="n"/>
      <c r="B32" s="15" t="n"/>
      <c r="C32" s="15" t="n"/>
      <c r="D32" s="15" t="n"/>
      <c r="E32" s="16" t="n"/>
    </row>
    <row r="33">
      <c r="A33" s="22" t="n"/>
      <c r="B33" s="15" t="n"/>
      <c r="C33" s="15" t="n"/>
      <c r="D33" s="15" t="n"/>
      <c r="E33" s="16" t="n"/>
    </row>
    <row r="34">
      <c r="A34" s="22" t="n"/>
      <c r="B34" s="15" t="n"/>
      <c r="C34" s="15" t="n"/>
      <c r="D34" s="15" t="n"/>
      <c r="E34" s="16" t="n"/>
    </row>
    <row r="35">
      <c r="A35" s="22" t="n"/>
      <c r="B35" s="15" t="n"/>
      <c r="C35" s="15" t="n"/>
      <c r="D35" s="15" t="n"/>
      <c r="E35" s="16" t="n"/>
    </row>
    <row r="36">
      <c r="A36" s="22" t="n"/>
      <c r="B36" s="15" t="n"/>
      <c r="C36" s="15" t="n"/>
      <c r="D36" s="15" t="n"/>
      <c r="E36" s="16" t="n"/>
    </row>
    <row r="37">
      <c r="A37" s="22" t="n"/>
      <c r="B37" s="15" t="n"/>
      <c r="C37" s="15" t="n"/>
      <c r="D37" s="15" t="n"/>
      <c r="E37" s="16" t="n"/>
    </row>
    <row r="38">
      <c r="A38" s="22" t="n"/>
      <c r="B38" s="15" t="n"/>
      <c r="C38" s="15" t="n"/>
      <c r="D38" s="15" t="n"/>
      <c r="E38" s="16" t="n"/>
    </row>
    <row r="39">
      <c r="A39" s="22" t="n"/>
      <c r="B39" s="15" t="n"/>
      <c r="C39" s="15" t="n"/>
      <c r="D39" s="15" t="n"/>
      <c r="E39" s="16" t="n"/>
    </row>
    <row r="40">
      <c r="A40" s="22" t="n"/>
      <c r="B40" s="15" t="n"/>
      <c r="C40" s="15" t="n"/>
      <c r="D40" s="15" t="n"/>
      <c r="E40" s="16" t="n"/>
    </row>
    <row r="41">
      <c r="A41" s="22" t="n"/>
      <c r="B41" s="15" t="n"/>
      <c r="C41" s="15" t="n"/>
      <c r="D41" s="15" t="n"/>
      <c r="E41" s="16" t="n"/>
    </row>
    <row r="42">
      <c r="A42" s="22" t="n"/>
      <c r="B42" s="15" t="n"/>
      <c r="C42" s="15" t="n"/>
      <c r="D42" s="15" t="n"/>
      <c r="E42" s="16" t="n"/>
    </row>
    <row r="43">
      <c r="A43" s="22" t="n"/>
      <c r="B43" s="15" t="n"/>
      <c r="C43" s="15" t="n"/>
      <c r="D43" s="15" t="n"/>
      <c r="E43" s="16" t="n"/>
    </row>
    <row r="44">
      <c r="A44" s="22" t="n"/>
      <c r="B44" s="15" t="n"/>
      <c r="C44" s="15" t="n"/>
      <c r="D44" s="15" t="n"/>
      <c r="E44" s="16" t="n"/>
    </row>
    <row r="45">
      <c r="A45" s="22" t="n"/>
      <c r="B45" s="15" t="n"/>
      <c r="C45" s="15" t="n"/>
      <c r="D45" s="15" t="n"/>
      <c r="E45" s="16" t="n"/>
    </row>
    <row r="46">
      <c r="A46" s="22" t="n"/>
      <c r="B46" s="15" t="n"/>
      <c r="C46" s="15" t="n"/>
      <c r="D46" s="15" t="n"/>
      <c r="E46" s="16" t="n"/>
    </row>
    <row r="47">
      <c r="A47" s="22" t="n"/>
      <c r="B47" s="15" t="n"/>
      <c r="C47" s="15" t="n"/>
      <c r="D47" s="15" t="n"/>
      <c r="E47" s="16" t="n"/>
    </row>
    <row r="48">
      <c r="A48" s="22" t="n"/>
      <c r="B48" s="15" t="n"/>
      <c r="C48" s="15" t="n"/>
      <c r="D48" s="15" t="n"/>
      <c r="E48" s="16" t="n"/>
    </row>
    <row r="49">
      <c r="A49" s="22" t="n"/>
      <c r="B49" s="15" t="n"/>
      <c r="C49" s="15" t="n"/>
      <c r="D49" s="15" t="n"/>
      <c r="E49" s="16" t="n"/>
    </row>
    <row r="50">
      <c r="A50" s="22" t="n"/>
      <c r="B50" s="15" t="n"/>
      <c r="C50" s="15" t="n"/>
      <c r="D50" s="15" t="n"/>
      <c r="E50" s="16" t="n"/>
    </row>
    <row r="51">
      <c r="A51" s="22" t="n"/>
      <c r="B51" s="15" t="n"/>
      <c r="C51" s="15" t="n"/>
      <c r="D51" s="15" t="n"/>
      <c r="E51" s="16" t="n"/>
    </row>
    <row r="52">
      <c r="A52" s="22" t="n"/>
      <c r="B52" s="15" t="n"/>
      <c r="C52" s="15" t="n"/>
      <c r="D52" s="15" t="n"/>
      <c r="E52" s="16" t="n"/>
    </row>
    <row r="53">
      <c r="A53" s="22" t="n"/>
      <c r="B53" s="15" t="n"/>
      <c r="C53" s="15" t="n"/>
      <c r="D53" s="15" t="n"/>
      <c r="E53" s="16" t="n"/>
    </row>
    <row r="54">
      <c r="A54" s="22" t="n"/>
      <c r="B54" s="15" t="n"/>
      <c r="C54" s="15" t="n"/>
      <c r="D54" s="15" t="n"/>
      <c r="E54" s="16" t="n"/>
    </row>
    <row r="55">
      <c r="A55" s="22" t="n"/>
      <c r="B55" s="15" t="n"/>
      <c r="C55" s="15" t="n"/>
      <c r="D55" s="15" t="n"/>
      <c r="E55" s="16" t="n"/>
    </row>
    <row r="56">
      <c r="A56" s="22" t="n"/>
      <c r="B56" s="15" t="n"/>
      <c r="C56" s="15" t="n"/>
      <c r="D56" s="15" t="n"/>
      <c r="E56" s="16" t="n"/>
    </row>
    <row r="57">
      <c r="A57" s="22" t="n"/>
      <c r="B57" s="15" t="n"/>
      <c r="C57" s="15" t="n"/>
      <c r="D57" s="15" t="n"/>
      <c r="E57" s="16" t="n"/>
    </row>
    <row r="58">
      <c r="A58" s="22" t="n"/>
      <c r="B58" s="15" t="n"/>
      <c r="C58" s="15" t="n"/>
      <c r="D58" s="15" t="n"/>
      <c r="E58" s="16" t="n"/>
    </row>
    <row r="59">
      <c r="A59" s="22" t="n"/>
      <c r="B59" s="15" t="n"/>
      <c r="C59" s="15" t="n"/>
      <c r="D59" s="15" t="n"/>
      <c r="E59" s="16" t="n"/>
    </row>
    <row r="60">
      <c r="A60" s="22" t="n"/>
      <c r="B60" s="15" t="n"/>
      <c r="C60" s="15" t="n"/>
      <c r="D60" s="15" t="n"/>
      <c r="E60" s="16" t="n"/>
    </row>
    <row r="61">
      <c r="A61" s="22" t="n"/>
      <c r="B61" s="15" t="n"/>
      <c r="C61" s="15" t="n"/>
      <c r="D61" s="15" t="n"/>
      <c r="E61" s="16" t="n"/>
    </row>
    <row r="62">
      <c r="A62" s="22" t="n"/>
      <c r="B62" s="15" t="n"/>
      <c r="C62" s="15" t="n"/>
      <c r="D62" s="15" t="n"/>
      <c r="E62" s="16" t="n"/>
    </row>
    <row r="63">
      <c r="A63" s="22" t="n"/>
      <c r="B63" s="15" t="n"/>
      <c r="C63" s="15" t="n"/>
      <c r="D63" s="15" t="n"/>
      <c r="E63" s="16" t="n"/>
    </row>
    <row r="64">
      <c r="A64" s="22" t="n"/>
      <c r="B64" s="15" t="n"/>
      <c r="C64" s="15" t="n"/>
      <c r="D64" s="15" t="n"/>
      <c r="E64" s="16" t="n"/>
    </row>
    <row r="65">
      <c r="A65" s="22" t="n"/>
      <c r="B65" s="15" t="n"/>
      <c r="C65" s="15" t="n"/>
      <c r="D65" s="15" t="n"/>
      <c r="E65" s="16" t="n"/>
    </row>
    <row r="66">
      <c r="A66" s="22" t="n"/>
      <c r="B66" s="15" t="n"/>
      <c r="C66" s="15" t="n"/>
      <c r="D66" s="15" t="n"/>
      <c r="E66" s="16" t="n"/>
    </row>
    <row r="67">
      <c r="A67" s="22" t="n"/>
      <c r="B67" s="15" t="n"/>
      <c r="C67" s="15" t="n"/>
      <c r="D67" s="15" t="n"/>
      <c r="E67" s="16" t="n"/>
    </row>
    <row r="68">
      <c r="A68" s="22" t="n"/>
      <c r="B68" s="15" t="n"/>
      <c r="C68" s="15" t="n"/>
      <c r="D68" s="15" t="n"/>
      <c r="E68" s="16" t="n"/>
    </row>
    <row r="69">
      <c r="A69" s="22" t="n"/>
      <c r="B69" s="15" t="n"/>
      <c r="C69" s="15" t="n"/>
      <c r="D69" s="15" t="n"/>
      <c r="E69" s="16" t="n"/>
    </row>
    <row r="70">
      <c r="A70" s="22" t="n"/>
      <c r="B70" s="15" t="n"/>
      <c r="C70" s="15" t="n"/>
      <c r="D70" s="15" t="n"/>
      <c r="E70" s="16" t="n"/>
    </row>
    <row r="71">
      <c r="A71" s="22" t="n"/>
      <c r="B71" s="15" t="n"/>
      <c r="C71" s="15" t="n"/>
      <c r="D71" s="15" t="n"/>
      <c r="E71" s="16" t="n"/>
    </row>
    <row r="72">
      <c r="A72" s="22" t="n"/>
      <c r="B72" s="15" t="n"/>
      <c r="C72" s="15" t="n"/>
      <c r="D72" s="15" t="n"/>
      <c r="E72" s="16" t="n"/>
    </row>
    <row r="73">
      <c r="A73" s="22" t="n"/>
      <c r="B73" s="15" t="n"/>
      <c r="C73" s="15" t="n"/>
      <c r="D73" s="15" t="n"/>
      <c r="E73" s="16" t="n"/>
    </row>
    <row r="74">
      <c r="A74" s="22" t="n"/>
      <c r="B74" s="15" t="n"/>
      <c r="C74" s="15" t="n"/>
      <c r="D74" s="15" t="n"/>
      <c r="E74" s="16" t="n"/>
    </row>
    <row r="75">
      <c r="A75" s="22" t="n"/>
      <c r="B75" s="15" t="n"/>
      <c r="C75" s="15" t="n"/>
      <c r="D75" s="15" t="n"/>
      <c r="E75" s="16" t="n"/>
    </row>
    <row r="76">
      <c r="A76" s="22" t="n"/>
      <c r="B76" s="15" t="n"/>
      <c r="C76" s="15" t="n"/>
      <c r="D76" s="15" t="n"/>
      <c r="E76" s="16" t="n"/>
    </row>
    <row r="77">
      <c r="A77" s="22" t="n"/>
      <c r="B77" s="15" t="n"/>
      <c r="C77" s="15" t="n"/>
      <c r="D77" s="15" t="n"/>
      <c r="E77" s="16" t="n"/>
    </row>
    <row r="78">
      <c r="A78" s="22" t="n"/>
      <c r="B78" s="15" t="n"/>
      <c r="C78" s="15" t="n"/>
      <c r="D78" s="15" t="n"/>
      <c r="E78" s="16" t="n"/>
    </row>
    <row r="79">
      <c r="A79" s="22" t="n"/>
      <c r="B79" s="15" t="n"/>
      <c r="C79" s="15" t="n"/>
      <c r="D79" s="15" t="n"/>
      <c r="E79" s="16" t="n"/>
    </row>
  </sheetData>
  <mergeCells count="3">
    <mergeCell ref="A2:E2"/>
    <mergeCell ref="A1:E1"/>
    <mergeCell ref="A3:E3"/>
  </mergeCells>
  <dataValidations count="2">
    <dataValidation sqref="B6:B200" showDropDown="0" showInputMessage="0" showErrorMessage="0" allowBlank="1" type="list">
      <formula1>=CATEGORIAS!$A$6:$A$16</formula1>
    </dataValidation>
    <dataValidation sqref="D6:D200" showDropDown="0" showInputMessage="0" showErrorMessage="0" allowBlank="1" type="list">
      <formula1>"Entrada,Saída"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2026-07-22T15:59:59Z</dcterms:created>
  <dcterms:modified xmlns:dcterms="http://purl.org/dc/terms/" xmlns:xsi="http://www.w3.org/2001/XMLSchema-instance" xsi:type="dcterms:W3CDTF">2026-07-22T15:59:59Z</dcterms:modified>
</cp:coreProperties>
</file>