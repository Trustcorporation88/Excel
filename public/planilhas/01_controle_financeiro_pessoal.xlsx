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LANCA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MMM/YYYY"/>
  </numFmts>
  <fonts count="8">
    <font>
      <name val="Calibri"/>
      <family val="2"/>
      <color theme="1"/>
      <sz val="11"/>
      <scheme val="minor"/>
    </font>
    <font>
      <name val="Calibri"/>
      <b val="1"/>
      <color rgb="000A1322"/>
      <sz val="18"/>
    </font>
    <font>
      <name val="Calibri"/>
      <color rgb="005C6B82"/>
      <sz val="11"/>
    </font>
    <font>
      <name val="Calibri"/>
      <b val="1"/>
      <color rgb="00FFFFFF"/>
      <sz val="11"/>
    </font>
    <font>
      <b val="1"/>
    </font>
    <font>
      <b val="1"/>
      <color rgb="000A1322"/>
      <sz val="14"/>
    </font>
    <font>
      <b val="1"/>
      <sz val="13"/>
    </font>
    <font>
      <i val="1"/>
      <color rgb="005C6B82"/>
    </font>
  </fonts>
  <fills count="4">
    <fill>
      <patternFill/>
    </fill>
    <fill>
      <patternFill patternType="gray125"/>
    </fill>
    <fill>
      <patternFill patternType="solid">
        <fgColor rgb="000A1322"/>
      </patternFill>
    </fill>
    <fill>
      <patternFill patternType="solid">
        <fgColor rgb="00F6F1E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7" fontId="0" fillId="3" borderId="0" pivotButton="0" quotePrefix="0" xfId="0"/>
    <xf numFmtId="0" fontId="4" fillId="3" borderId="0" pivotButton="0" quotePrefix="0" xfId="0"/>
    <xf numFmtId="166" fontId="0" fillId="0" borderId="1" pivotButton="0" quotePrefix="0" xfId="0"/>
    <xf numFmtId="166" fontId="5" fillId="0" borderId="1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Saídas por categoria</a:t>
            </a:r>
          </a:p>
        </rich>
      </tx>
    </title>
    <plotArea>
      <doughnutChart>
        <varyColors val="1"/>
        <ser>
          <idx val="0"/>
          <order val="0"/>
          <tx>
            <strRef>
              <f>'PAINEL'!B11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'PAINEL'!$A$12:$A$22</f>
            </numRef>
          </cat>
          <val>
            <numRef>
              <f>'PAINEL'!$B$12:$B$22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Trust Excel · Painel Financeiro</t>
        </is>
      </c>
    </row>
    <row r="2">
      <c r="A2" s="2" t="inlineStr">
        <is>
          <t>Totais automáticos do mês atual + gastos por categoria</t>
        </is>
      </c>
    </row>
    <row r="3"/>
    <row r="4">
      <c r="A4" t="inlineStr">
        <is>
          <t>Mês de referência</t>
        </is>
      </c>
      <c r="B4" s="3" t="n">
        <v>46204</v>
      </c>
    </row>
    <row r="5"/>
    <row r="6">
      <c r="A6" s="4" t="inlineStr">
        <is>
          <t>Total Entradas</t>
        </is>
      </c>
      <c r="B6" s="5">
        <f>SUMIFS(LANCAMENTOS!E:E,LANCAMENTOS!D:D,"Entrada",LANCAMENTOS!A:A,"&gt;="&amp;$B$4,LANCAMENTOS!A:A,"&lt;="&amp;EOMONTH($B$4,0))</f>
        <v/>
      </c>
    </row>
    <row r="7">
      <c r="A7" s="4" t="inlineStr">
        <is>
          <t>Total Saídas</t>
        </is>
      </c>
      <c r="B7" s="5">
        <f>SUMIFS(LANCAMENTOS!E:E,LANCAMENTOS!D:D,"Saída",LANCAMENTOS!A:A,"&gt;="&amp;$B$4,LANCAMENTOS!A:A,"&lt;="&amp;EOMONTH($B$4,0))</f>
        <v/>
      </c>
    </row>
    <row r="8">
      <c r="A8" s="4" t="inlineStr">
        <is>
          <t>Saldo do mês</t>
        </is>
      </c>
      <c r="B8" s="6">
        <f>B6-B7</f>
        <v/>
      </c>
    </row>
    <row r="9"/>
    <row r="10">
      <c r="A10" s="7" t="inlineStr">
        <is>
          <t>Gastos por categoria</t>
        </is>
      </c>
    </row>
    <row r="11">
      <c r="A11" s="8" t="inlineStr">
        <is>
          <t>Categoria</t>
        </is>
      </c>
      <c r="B11" s="8" t="inlineStr">
        <is>
          <t>Total Saídas</t>
        </is>
      </c>
    </row>
    <row r="12">
      <c r="A12" s="9">
        <f>IF(CATEGORIAS!A5="","",CATEGORIAS!A5)</f>
        <v/>
      </c>
      <c r="B12" s="5">
        <f>IF(A12="","",SUMIFS(LANCAMENTOS!E:E,LANCAMENTOS!B:B,A12,LANCAMENTOS!D:D,"Saída",LANCAMENTOS!A:A,"&gt;="&amp;$B$4,LANCAMENTOS!A:A,"&lt;="&amp;EOMONTH($B$4,0)))</f>
        <v/>
      </c>
    </row>
    <row r="13">
      <c r="A13" s="9">
        <f>IF(CATEGORIAS!A6="","",CATEGORIAS!A6)</f>
        <v/>
      </c>
      <c r="B13" s="5">
        <f>IF(A13="","",SUMIFS(LANCAMENTOS!E:E,LANCAMENTOS!B:B,A13,LANCAMENTOS!D:D,"Saída",LANCAMENTOS!A:A,"&gt;="&amp;$B$4,LANCAMENTOS!A:A,"&lt;="&amp;EOMONTH($B$4,0)))</f>
        <v/>
      </c>
    </row>
    <row r="14">
      <c r="A14" s="9">
        <f>IF(CATEGORIAS!A7="","",CATEGORIAS!A7)</f>
        <v/>
      </c>
      <c r="B14" s="5">
        <f>IF(A14="","",SUMIFS(LANCAMENTOS!E:E,LANCAMENTOS!B:B,A14,LANCAMENTOS!D:D,"Saída",LANCAMENTOS!A:A,"&gt;="&amp;$B$4,LANCAMENTOS!A:A,"&lt;="&amp;EOMONTH($B$4,0)))</f>
        <v/>
      </c>
    </row>
    <row r="15">
      <c r="A15" s="9">
        <f>IF(CATEGORIAS!A8="","",CATEGORIAS!A8)</f>
        <v/>
      </c>
      <c r="B15" s="5">
        <f>IF(A15="","",SUMIFS(LANCAMENTOS!E:E,LANCAMENTOS!B:B,A15,LANCAMENTOS!D:D,"Saída",LANCAMENTOS!A:A,"&gt;="&amp;$B$4,LANCAMENTOS!A:A,"&lt;="&amp;EOMONTH($B$4,0)))</f>
        <v/>
      </c>
    </row>
    <row r="16">
      <c r="A16" s="9">
        <f>IF(CATEGORIAS!A9="","",CATEGORIAS!A9)</f>
        <v/>
      </c>
      <c r="B16" s="5">
        <f>IF(A16="","",SUMIFS(LANCAMENTOS!E:E,LANCAMENTOS!B:B,A16,LANCAMENTOS!D:D,"Saída",LANCAMENTOS!A:A,"&gt;="&amp;$B$4,LANCAMENTOS!A:A,"&lt;="&amp;EOMONTH($B$4,0)))</f>
        <v/>
      </c>
    </row>
    <row r="17">
      <c r="A17" s="9">
        <f>IF(CATEGORIAS!A10="","",CATEGORIAS!A10)</f>
        <v/>
      </c>
      <c r="B17" s="5">
        <f>IF(A17="","",SUMIFS(LANCAMENTOS!E:E,LANCAMENTOS!B:B,A17,LANCAMENTOS!D:D,"Saída",LANCAMENTOS!A:A,"&gt;="&amp;$B$4,LANCAMENTOS!A:A,"&lt;="&amp;EOMONTH($B$4,0)))</f>
        <v/>
      </c>
    </row>
    <row r="18">
      <c r="A18" s="9">
        <f>IF(CATEGORIAS!A11="","",CATEGORIAS!A11)</f>
        <v/>
      </c>
      <c r="B18" s="5">
        <f>IF(A18="","",SUMIFS(LANCAMENTOS!E:E,LANCAMENTOS!B:B,A18,LANCAMENTOS!D:D,"Saída",LANCAMENTOS!A:A,"&gt;="&amp;$B$4,LANCAMENTOS!A:A,"&lt;="&amp;EOMONTH($B$4,0)))</f>
        <v/>
      </c>
    </row>
    <row r="19">
      <c r="A19" s="9">
        <f>IF(CATEGORIAS!A12="","",CATEGORIAS!A12)</f>
        <v/>
      </c>
      <c r="B19" s="5">
        <f>IF(A19="","",SUMIFS(LANCAMENTOS!E:E,LANCAMENTOS!B:B,A19,LANCAMENTOS!D:D,"Saída",LANCAMENTOS!A:A,"&gt;="&amp;$B$4,LANCAMENTOS!A:A,"&lt;="&amp;EOMONTH($B$4,0)))</f>
        <v/>
      </c>
    </row>
    <row r="20">
      <c r="A20" s="9">
        <f>IF(CATEGORIAS!A13="","",CATEGORIAS!A13)</f>
        <v/>
      </c>
      <c r="B20" s="5">
        <f>IF(A20="","",SUMIFS(LANCAMENTOS!E:E,LANCAMENTOS!B:B,A20,LANCAMENTOS!D:D,"Saída",LANCAMENTOS!A:A,"&gt;="&amp;$B$4,LANCAMENTOS!A:A,"&lt;="&amp;EOMONTH($B$4,0)))</f>
        <v/>
      </c>
    </row>
    <row r="21">
      <c r="A21" s="9">
        <f>IF(CATEGORIAS!A14="","",CATEGORIAS!A14)</f>
        <v/>
      </c>
      <c r="B21" s="5">
        <f>IF(A21="","",SUMIFS(LANCAMENTOS!E:E,LANCAMENTOS!B:B,A21,LANCAMENTOS!D:D,"Saída",LANCAMENTOS!A:A,"&gt;="&amp;$B$4,LANCAMENTOS!A:A,"&lt;="&amp;EOMONTH($B$4,0)))</f>
        <v/>
      </c>
    </row>
    <row r="22">
      <c r="A22" s="9">
        <f>IF(CATEGORIAS!A15="","",CATEGORIAS!A15)</f>
        <v/>
      </c>
      <c r="B22" s="5">
        <f>IF(A22="","",SUMIFS(LANCAMENTOS!E:E,LANCAMENTOS!B:B,A22,LANCAMENTOS!D:D,"Saída",LANCAMENTOS!A:A,"&gt;="&amp;$B$4,LANCAMENTOS!A:A,"&lt;="&amp;EOMONTH($B$4,0)))</f>
        <v/>
      </c>
    </row>
    <row r="23"/>
    <row r="24"/>
    <row r="25">
      <c r="A25" s="10" t="inlineStr">
        <is>
          <t>Automação TrustCorp: preencha LANCAMENTOS; o PAINEL recalcula sozinho. Use lista suspensa em Categoria e Tipo.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8" customHeight="1">
      <c r="A1" s="1" t="inlineStr">
        <is>
          <t>Trust Excel · Categorias</t>
        </is>
      </c>
    </row>
    <row r="2">
      <c r="A2" s="2" t="inlineStr">
        <is>
          <t>Lista-mestre para validação de lançamentos</t>
        </is>
      </c>
    </row>
    <row r="3"/>
    <row r="4">
      <c r="A4" s="8" t="inlineStr">
        <is>
          <t>Categoria</t>
        </is>
      </c>
    </row>
    <row r="5">
      <c r="A5" s="9" t="inlineStr">
        <is>
          <t>Moradia</t>
        </is>
      </c>
    </row>
    <row r="6">
      <c r="A6" s="9" t="inlineStr">
        <is>
          <t>Alimentação</t>
        </is>
      </c>
    </row>
    <row r="7">
      <c r="A7" s="9" t="inlineStr">
        <is>
          <t>Transporte</t>
        </is>
      </c>
    </row>
    <row r="8">
      <c r="A8" s="9" t="inlineStr">
        <is>
          <t>Lazer</t>
        </is>
      </c>
    </row>
    <row r="9">
      <c r="A9" s="9" t="inlineStr">
        <is>
          <t>Assinaturas</t>
        </is>
      </c>
    </row>
    <row r="10">
      <c r="A10" s="9" t="inlineStr">
        <is>
          <t>Saúde</t>
        </is>
      </c>
    </row>
    <row r="11">
      <c r="A11" s="9" t="inlineStr">
        <is>
          <t>Educação</t>
        </is>
      </c>
    </row>
    <row r="12">
      <c r="A12" s="9" t="inlineStr">
        <is>
          <t>Salário</t>
        </is>
      </c>
    </row>
    <row r="13">
      <c r="A13" s="9" t="inlineStr">
        <is>
          <t>Freelance</t>
        </is>
      </c>
    </row>
    <row r="14">
      <c r="A14" s="9" t="inlineStr">
        <is>
          <t>Investimentos</t>
        </is>
      </c>
    </row>
    <row r="15">
      <c r="A15" s="9" t="inlineStr">
        <is>
          <t>Outros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3" customWidth="1" min="3" max="3"/>
    <col width="12" customWidth="1" min="4" max="4"/>
    <col width="12" customWidth="1" min="5" max="5"/>
  </cols>
  <sheetData>
    <row r="1" ht="28" customHeight="1">
      <c r="A1" s="1" t="inlineStr">
        <is>
          <t>Trust Excel · Controle Financeiro Pessoal</t>
        </is>
      </c>
    </row>
    <row r="2">
      <c r="A2" s="2" t="inlineStr">
        <is>
          <t>Lançamentos do mês · tabelas e listas suspensas</t>
        </is>
      </c>
    </row>
    <row r="3"/>
    <row r="4">
      <c r="A4" s="8" t="inlineStr">
        <is>
          <t>Data</t>
        </is>
      </c>
      <c r="B4" s="8" t="inlineStr">
        <is>
          <t>Categoria</t>
        </is>
      </c>
      <c r="C4" s="8" t="inlineStr">
        <is>
          <t>Descrição</t>
        </is>
      </c>
      <c r="D4" s="8" t="inlineStr">
        <is>
          <t>Tipo</t>
        </is>
      </c>
      <c r="E4" s="8" t="inlineStr">
        <is>
          <t>Valor</t>
        </is>
      </c>
    </row>
    <row r="5">
      <c r="A5" s="11" t="n">
        <v>46205</v>
      </c>
      <c r="B5" s="9" t="inlineStr">
        <is>
          <t>Salário</t>
        </is>
      </c>
      <c r="C5" s="9" t="inlineStr">
        <is>
          <t>Salário mensal</t>
        </is>
      </c>
      <c r="D5" s="9" t="inlineStr">
        <is>
          <t>Entrada</t>
        </is>
      </c>
      <c r="E5" s="5" t="n">
        <v>8500</v>
      </c>
    </row>
    <row r="6">
      <c r="A6" s="11" t="n">
        <v>46206</v>
      </c>
      <c r="B6" s="9" t="inlineStr">
        <is>
          <t>Moradia</t>
        </is>
      </c>
      <c r="C6" s="9" t="inlineStr">
        <is>
          <t>Aluguel</t>
        </is>
      </c>
      <c r="D6" s="9" t="inlineStr">
        <is>
          <t>Saída</t>
        </is>
      </c>
      <c r="E6" s="5" t="n">
        <v>2200</v>
      </c>
    </row>
    <row r="7">
      <c r="A7" s="11" t="n">
        <v>46207</v>
      </c>
      <c r="B7" s="9" t="inlineStr">
        <is>
          <t>Alimentação</t>
        </is>
      </c>
      <c r="C7" s="9" t="inlineStr">
        <is>
          <t>Mercado</t>
        </is>
      </c>
      <c r="D7" s="9" t="inlineStr">
        <is>
          <t>Saída</t>
        </is>
      </c>
      <c r="E7" s="5" t="n">
        <v>640.5</v>
      </c>
    </row>
    <row r="8">
      <c r="A8" s="11" t="n">
        <v>46208</v>
      </c>
      <c r="B8" s="9" t="inlineStr">
        <is>
          <t>Assinaturas</t>
        </is>
      </c>
      <c r="C8" s="9" t="inlineStr">
        <is>
          <t>Streaming + software</t>
        </is>
      </c>
      <c r="D8" s="9" t="inlineStr">
        <is>
          <t>Saída</t>
        </is>
      </c>
      <c r="E8" s="5" t="n">
        <v>189.9</v>
      </c>
    </row>
    <row r="9">
      <c r="A9" s="11" t="n">
        <v>46209</v>
      </c>
      <c r="B9" s="9" t="inlineStr">
        <is>
          <t>Transporte</t>
        </is>
      </c>
      <c r="C9" s="9" t="inlineStr">
        <is>
          <t>Combustível</t>
        </is>
      </c>
      <c r="D9" s="9" t="inlineStr">
        <is>
          <t>Saída</t>
        </is>
      </c>
      <c r="E9" s="5" t="n">
        <v>320</v>
      </c>
    </row>
    <row r="10">
      <c r="A10" s="11" t="n">
        <v>46210</v>
      </c>
      <c r="B10" s="9" t="inlineStr">
        <is>
          <t>Freelance</t>
        </is>
      </c>
      <c r="C10" s="9" t="inlineStr">
        <is>
          <t>Projeto cliente A</t>
        </is>
      </c>
      <c r="D10" s="9" t="inlineStr">
        <is>
          <t>Entrada</t>
        </is>
      </c>
      <c r="E10" s="5" t="n">
        <v>1500</v>
      </c>
    </row>
    <row r="11">
      <c r="A11" s="11" t="n">
        <v>46211</v>
      </c>
      <c r="B11" s="9" t="inlineStr">
        <is>
          <t>Lazer</t>
        </is>
      </c>
      <c r="C11" s="9" t="inlineStr">
        <is>
          <t>Restaurante</t>
        </is>
      </c>
      <c r="D11" s="9" t="inlineStr">
        <is>
          <t>Saída</t>
        </is>
      </c>
      <c r="E11" s="5" t="n">
        <v>210</v>
      </c>
    </row>
    <row r="12">
      <c r="A12" s="11" t="n">
        <v>46212</v>
      </c>
      <c r="B12" s="9" t="inlineStr">
        <is>
          <t>Saúde</t>
        </is>
      </c>
      <c r="C12" s="9" t="inlineStr">
        <is>
          <t>Farmácia</t>
        </is>
      </c>
      <c r="D12" s="9" t="inlineStr">
        <is>
          <t>Saída</t>
        </is>
      </c>
      <c r="E12" s="5" t="n">
        <v>95.40000000000001</v>
      </c>
    </row>
    <row r="13">
      <c r="A13" s="11" t="n">
        <v>46214</v>
      </c>
      <c r="B13" s="9" t="inlineStr">
        <is>
          <t>Alimentação</t>
        </is>
      </c>
      <c r="C13" s="9" t="inlineStr">
        <is>
          <t>Delivery</t>
        </is>
      </c>
      <c r="D13" s="9" t="inlineStr">
        <is>
          <t>Saída</t>
        </is>
      </c>
      <c r="E13" s="5" t="n">
        <v>78</v>
      </c>
    </row>
    <row r="14">
      <c r="A14" s="11" t="n">
        <v>46216</v>
      </c>
      <c r="B14" s="9" t="inlineStr">
        <is>
          <t>Investimentos</t>
        </is>
      </c>
      <c r="C14" s="9" t="inlineStr">
        <is>
          <t>Aporte mensal</t>
        </is>
      </c>
      <c r="D14" s="9" t="inlineStr">
        <is>
          <t>Saída</t>
        </is>
      </c>
      <c r="E14" s="5" t="n">
        <v>500</v>
      </c>
    </row>
    <row r="15">
      <c r="A15" s="11" t="n"/>
      <c r="B15" s="9" t="n"/>
      <c r="C15" s="9" t="n"/>
      <c r="D15" s="9" t="n"/>
      <c r="E15" s="5" t="n"/>
    </row>
    <row r="16">
      <c r="A16" s="11" t="n"/>
      <c r="B16" s="9" t="n"/>
      <c r="C16" s="9" t="n"/>
      <c r="D16" s="9" t="n"/>
      <c r="E16" s="5" t="n"/>
    </row>
    <row r="17">
      <c r="A17" s="11" t="n"/>
      <c r="B17" s="9" t="n"/>
      <c r="C17" s="9" t="n"/>
      <c r="D17" s="9" t="n"/>
      <c r="E17" s="5" t="n"/>
    </row>
    <row r="18">
      <c r="A18" s="11" t="n"/>
      <c r="B18" s="9" t="n"/>
      <c r="C18" s="9" t="n"/>
      <c r="D18" s="9" t="n"/>
      <c r="E18" s="5" t="n"/>
    </row>
    <row r="19">
      <c r="A19" s="11" t="n"/>
      <c r="B19" s="9" t="n"/>
      <c r="C19" s="9" t="n"/>
      <c r="D19" s="9" t="n"/>
      <c r="E19" s="5" t="n"/>
    </row>
    <row r="20">
      <c r="A20" s="11" t="n"/>
      <c r="B20" s="9" t="n"/>
      <c r="C20" s="9" t="n"/>
      <c r="D20" s="9" t="n"/>
      <c r="E20" s="5" t="n"/>
    </row>
    <row r="21">
      <c r="A21" s="11" t="n"/>
      <c r="B21" s="9" t="n"/>
      <c r="C21" s="9" t="n"/>
      <c r="D21" s="9" t="n"/>
      <c r="E21" s="5" t="n"/>
    </row>
    <row r="22">
      <c r="A22" s="11" t="n"/>
      <c r="B22" s="9" t="n"/>
      <c r="C22" s="9" t="n"/>
      <c r="D22" s="9" t="n"/>
      <c r="E22" s="5" t="n"/>
    </row>
    <row r="23">
      <c r="A23" s="11" t="n"/>
      <c r="B23" s="9" t="n"/>
      <c r="C23" s="9" t="n"/>
      <c r="D23" s="9" t="n"/>
      <c r="E23" s="5" t="n"/>
    </row>
    <row r="24">
      <c r="A24" s="11" t="n"/>
      <c r="B24" s="9" t="n"/>
      <c r="C24" s="9" t="n"/>
      <c r="D24" s="9" t="n"/>
      <c r="E24" s="5" t="n"/>
    </row>
    <row r="25">
      <c r="A25" s="11" t="n"/>
      <c r="B25" s="9" t="n"/>
      <c r="C25" s="9" t="n"/>
      <c r="D25" s="9" t="n"/>
      <c r="E25" s="5" t="n"/>
    </row>
    <row r="26">
      <c r="A26" s="11" t="n"/>
      <c r="B26" s="9" t="n"/>
      <c r="C26" s="9" t="n"/>
      <c r="D26" s="9" t="n"/>
      <c r="E26" s="5" t="n"/>
    </row>
    <row r="27">
      <c r="A27" s="11" t="n"/>
      <c r="B27" s="9" t="n"/>
      <c r="C27" s="9" t="n"/>
      <c r="D27" s="9" t="n"/>
      <c r="E27" s="5" t="n"/>
    </row>
    <row r="28">
      <c r="A28" s="11" t="n"/>
      <c r="B28" s="9" t="n"/>
      <c r="C28" s="9" t="n"/>
      <c r="D28" s="9" t="n"/>
      <c r="E28" s="5" t="n"/>
    </row>
    <row r="29">
      <c r="A29" s="11" t="n"/>
      <c r="B29" s="9" t="n"/>
      <c r="C29" s="9" t="n"/>
      <c r="D29" s="9" t="n"/>
      <c r="E29" s="5" t="n"/>
    </row>
    <row r="30">
      <c r="A30" s="11" t="n"/>
      <c r="B30" s="9" t="n"/>
      <c r="C30" s="9" t="n"/>
      <c r="D30" s="9" t="n"/>
      <c r="E30" s="5" t="n"/>
    </row>
    <row r="31">
      <c r="A31" s="11" t="n"/>
      <c r="B31" s="9" t="n"/>
      <c r="C31" s="9" t="n"/>
      <c r="D31" s="9" t="n"/>
      <c r="E31" s="5" t="n"/>
    </row>
    <row r="32">
      <c r="A32" s="11" t="n"/>
      <c r="B32" s="9" t="n"/>
      <c r="C32" s="9" t="n"/>
      <c r="D32" s="9" t="n"/>
      <c r="E32" s="5" t="n"/>
    </row>
    <row r="33">
      <c r="A33" s="11" t="n"/>
      <c r="B33" s="9" t="n"/>
      <c r="C33" s="9" t="n"/>
      <c r="D33" s="9" t="n"/>
      <c r="E33" s="5" t="n"/>
    </row>
    <row r="34">
      <c r="A34" s="11" t="n"/>
      <c r="B34" s="9" t="n"/>
      <c r="C34" s="9" t="n"/>
      <c r="D34" s="9" t="n"/>
      <c r="E34" s="5" t="n"/>
    </row>
    <row r="35">
      <c r="A35" s="11" t="n"/>
      <c r="B35" s="9" t="n"/>
      <c r="C35" s="9" t="n"/>
      <c r="D35" s="9" t="n"/>
      <c r="E35" s="5" t="n"/>
    </row>
    <row r="36">
      <c r="A36" s="11" t="n"/>
      <c r="B36" s="9" t="n"/>
      <c r="C36" s="9" t="n"/>
      <c r="D36" s="9" t="n"/>
      <c r="E36" s="5" t="n"/>
    </row>
    <row r="37">
      <c r="A37" s="11" t="n"/>
      <c r="B37" s="9" t="n"/>
      <c r="C37" s="9" t="n"/>
      <c r="D37" s="9" t="n"/>
      <c r="E37" s="5" t="n"/>
    </row>
    <row r="38">
      <c r="A38" s="11" t="n"/>
      <c r="B38" s="9" t="n"/>
      <c r="C38" s="9" t="n"/>
      <c r="D38" s="9" t="n"/>
      <c r="E38" s="5" t="n"/>
    </row>
    <row r="39">
      <c r="A39" s="11" t="n"/>
      <c r="B39" s="9" t="n"/>
      <c r="C39" s="9" t="n"/>
      <c r="D39" s="9" t="n"/>
      <c r="E39" s="5" t="n"/>
    </row>
    <row r="40">
      <c r="A40" s="11" t="n"/>
      <c r="B40" s="9" t="n"/>
      <c r="C40" s="9" t="n"/>
      <c r="D40" s="9" t="n"/>
      <c r="E40" s="5" t="n"/>
    </row>
    <row r="41">
      <c r="A41" s="11" t="n"/>
      <c r="B41" s="9" t="n"/>
      <c r="C41" s="9" t="n"/>
      <c r="D41" s="9" t="n"/>
      <c r="E41" s="5" t="n"/>
    </row>
    <row r="42">
      <c r="A42" s="11" t="n"/>
      <c r="B42" s="9" t="n"/>
      <c r="C42" s="9" t="n"/>
      <c r="D42" s="9" t="n"/>
      <c r="E42" s="5" t="n"/>
    </row>
    <row r="43">
      <c r="A43" s="11" t="n"/>
      <c r="B43" s="9" t="n"/>
      <c r="C43" s="9" t="n"/>
      <c r="D43" s="9" t="n"/>
      <c r="E43" s="5" t="n"/>
    </row>
    <row r="44">
      <c r="A44" s="11" t="n"/>
      <c r="B44" s="9" t="n"/>
      <c r="C44" s="9" t="n"/>
      <c r="D44" s="9" t="n"/>
      <c r="E44" s="5" t="n"/>
    </row>
    <row r="45">
      <c r="A45" s="11" t="n"/>
      <c r="B45" s="9" t="n"/>
      <c r="C45" s="9" t="n"/>
      <c r="D45" s="9" t="n"/>
      <c r="E45" s="5" t="n"/>
    </row>
    <row r="46">
      <c r="A46" s="11" t="n"/>
      <c r="B46" s="9" t="n"/>
      <c r="C46" s="9" t="n"/>
      <c r="D46" s="9" t="n"/>
      <c r="E46" s="5" t="n"/>
    </row>
    <row r="47">
      <c r="A47" s="11" t="n"/>
      <c r="B47" s="9" t="n"/>
      <c r="C47" s="9" t="n"/>
      <c r="D47" s="9" t="n"/>
      <c r="E47" s="5" t="n"/>
    </row>
    <row r="48">
      <c r="A48" s="11" t="n"/>
      <c r="B48" s="9" t="n"/>
      <c r="C48" s="9" t="n"/>
      <c r="D48" s="9" t="n"/>
      <c r="E48" s="5" t="n"/>
    </row>
    <row r="49">
      <c r="A49" s="11" t="n"/>
      <c r="B49" s="9" t="n"/>
      <c r="C49" s="9" t="n"/>
      <c r="D49" s="9" t="n"/>
      <c r="E49" s="5" t="n"/>
    </row>
    <row r="50">
      <c r="A50" s="11" t="n"/>
      <c r="B50" s="9" t="n"/>
      <c r="C50" s="9" t="n"/>
      <c r="D50" s="9" t="n"/>
      <c r="E50" s="5" t="n"/>
    </row>
    <row r="51">
      <c r="A51" s="11" t="n"/>
      <c r="B51" s="9" t="n"/>
      <c r="C51" s="9" t="n"/>
      <c r="D51" s="9" t="n"/>
      <c r="E51" s="5" t="n"/>
    </row>
    <row r="52">
      <c r="A52" s="11" t="n"/>
      <c r="B52" s="9" t="n"/>
      <c r="C52" s="9" t="n"/>
      <c r="D52" s="9" t="n"/>
      <c r="E52" s="5" t="n"/>
    </row>
    <row r="53">
      <c r="A53" s="11" t="n"/>
      <c r="B53" s="9" t="n"/>
      <c r="C53" s="9" t="n"/>
      <c r="D53" s="9" t="n"/>
      <c r="E53" s="5" t="n"/>
    </row>
    <row r="54">
      <c r="A54" s="11" t="n"/>
      <c r="B54" s="9" t="n"/>
      <c r="C54" s="9" t="n"/>
      <c r="D54" s="9" t="n"/>
      <c r="E54" s="5" t="n"/>
    </row>
  </sheetData>
  <mergeCells count="2">
    <mergeCell ref="A2:E2"/>
    <mergeCell ref="A1:E1"/>
  </mergeCells>
  <dataValidations count="2">
    <dataValidation sqref="B5:B200" showDropDown="0" showInputMessage="0" showErrorMessage="0" allowBlank="1" type="list">
      <formula1>=CATEGORIAS!$A$5:$A$15</formula1>
    </dataValidation>
    <dataValidation sqref="D5:D200" showDropDown="0" showInputMessage="0" showErrorMessage="0" allowBlank="1" type="list">
      <formula1>"Entrada,Saída"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2026-07-22T15:48:48Z</dcterms:created>
  <dcterms:modified xmlns:dcterms="http://purl.org/dc/terms/" xmlns:xsi="http://www.w3.org/2001/XMLSchema-instance" xsi:type="dcterms:W3CDTF">2026-07-22T15:48:48Z</dcterms:modified>
</cp:coreProperties>
</file>