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METAS" sheetId="2" state="visible" r:id="rId2"/>
    <sheet xmlns:r="http://schemas.openxmlformats.org/officeDocument/2006/relationships" name="HABI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0A1322"/>
      <sz val="18"/>
    </font>
    <font>
      <name val="Calibri"/>
      <color rgb="005C6B82"/>
      <sz val="11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A1322"/>
      </patternFill>
    </fill>
    <fill>
      <patternFill patternType="solid">
        <fgColor rgb="00F6F1E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166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Progresso das metas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'METAS'!D4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'METAS'!$A$5:$A$9</f>
            </numRef>
          </cat>
          <val>
            <numRef>
              <f>'METAS'!$D$5:$D$9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Trust Excel · Painel Metas &amp; Hábitos</t>
        </is>
      </c>
    </row>
    <row r="2">
      <c r="A2" s="2" t="inlineStr">
        <is>
          <t>Visão executiva automática</t>
        </is>
      </c>
    </row>
    <row r="3"/>
    <row r="4">
      <c r="A4" s="3" t="inlineStr">
        <is>
          <t>Metas em andamento</t>
        </is>
      </c>
      <c r="B4" s="4">
        <f>COUNTA(METAS!A5:A50)</f>
        <v/>
      </c>
    </row>
    <row r="5">
      <c r="A5" s="3" t="inlineStr">
        <is>
          <t>Progresso médio das metas</t>
        </is>
      </c>
      <c r="B5" s="5">
        <f>IFERROR(AVERAGE(METAS!D5:D50),0)</f>
        <v/>
      </c>
    </row>
    <row r="6">
      <c r="A6" s="3" t="inlineStr">
        <is>
          <t>Hábitos ativos</t>
        </is>
      </c>
      <c r="B6" s="4">
        <f>COUNTA(HABITOS!A5:A50)</f>
        <v/>
      </c>
    </row>
    <row r="7">
      <c r="A7" s="3" t="inlineStr">
        <is>
          <t>Consistência média</t>
        </is>
      </c>
      <c r="B7" s="5">
        <f>IFERROR(AVERAGE(HABITOS!I5:I50),0)</f>
        <v/>
      </c>
    </row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Ritual: 10 minutos no domingo para atualizar Realizado e marcar hábitos. A planilha faz o resto.</t>
        </is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32" customWidth="1" min="4" max="4"/>
    <col width="32" customWidth="1" min="5" max="5"/>
    <col width="13" customWidth="1" min="6" max="6"/>
    <col width="24" customWidth="1" min="7" max="7"/>
  </cols>
  <sheetData>
    <row r="1" ht="28" customHeight="1">
      <c r="A1" s="1" t="inlineStr">
        <is>
          <t>Trust Excel · Metas do Ano</t>
        </is>
      </c>
    </row>
    <row r="2">
      <c r="A2" s="2" t="inlineStr">
        <is>
          <t>Progresso automático com barra visual</t>
        </is>
      </c>
    </row>
    <row r="3"/>
    <row r="4">
      <c r="A4" s="6" t="inlineStr">
        <is>
          <t>Meta</t>
        </is>
      </c>
      <c r="B4" s="6" t="inlineStr">
        <is>
          <t>Valor-alvo</t>
        </is>
      </c>
      <c r="C4" s="6" t="inlineStr">
        <is>
          <t>Realizado</t>
        </is>
      </c>
      <c r="D4" s="6" t="inlineStr">
        <is>
          <t>% Progresso</t>
        </is>
      </c>
      <c r="E4" s="6" t="inlineStr">
        <is>
          <t>Barra</t>
        </is>
      </c>
      <c r="F4" s="6" t="inlineStr">
        <is>
          <t>Prazo</t>
        </is>
      </c>
      <c r="G4" s="6" t="inlineStr">
        <is>
          <t>Por quê</t>
        </is>
      </c>
    </row>
    <row r="5">
      <c r="A5" s="4" t="inlineStr">
        <is>
          <t>Faturar R$ 30 mil/mês</t>
        </is>
      </c>
      <c r="B5" s="4" t="n">
        <v>30000</v>
      </c>
      <c r="C5" s="4" t="n">
        <v>18500</v>
      </c>
      <c r="D5" s="5">
        <f>IF(B5=0,0,C5/B5)</f>
        <v/>
      </c>
      <c r="E5" s="4">
        <f>REPT("█",ROUNDDOWN(D5*10,0))&amp;REPT("░",10-ROUNDDOWN(D5*10,0))</f>
        <v/>
      </c>
      <c r="F5" s="7" t="n">
        <v>46387</v>
      </c>
      <c r="G5" s="4" t="inlineStr">
        <is>
          <t>Liberdade financeira</t>
        </is>
      </c>
    </row>
    <row r="6">
      <c r="A6" s="4" t="inlineStr">
        <is>
          <t>Criar reserva de emergência</t>
        </is>
      </c>
      <c r="B6" s="4" t="n">
        <v>20000</v>
      </c>
      <c r="C6" s="4" t="n">
        <v>9000</v>
      </c>
      <c r="D6" s="5">
        <f>IF(B6=0,0,C6/B6)</f>
        <v/>
      </c>
      <c r="E6" s="4">
        <f>REPT("█",ROUNDDOWN(D6*10,0))&amp;REPT("░",10-ROUNDDOWN(D6*10,0))</f>
        <v/>
      </c>
      <c r="F6" s="7" t="n">
        <v>46296</v>
      </c>
      <c r="G6" s="4" t="inlineStr">
        <is>
          <t>Segurança</t>
        </is>
      </c>
    </row>
    <row r="7">
      <c r="A7" s="4" t="inlineStr">
        <is>
          <t>Reduzir assinaturas</t>
        </is>
      </c>
      <c r="B7" s="4" t="n">
        <v>200</v>
      </c>
      <c r="C7" s="4" t="n">
        <v>120</v>
      </c>
      <c r="D7" s="5">
        <f>IF(B7=0,0,C7/B7)</f>
        <v/>
      </c>
      <c r="E7" s="4">
        <f>REPT("█",ROUNDDOWN(D7*10,0))&amp;REPT("░",10-ROUNDDOWN(D7*10,0))</f>
        <v/>
      </c>
      <c r="F7" s="7" t="n">
        <v>46265</v>
      </c>
      <c r="G7" s="4" t="inlineStr">
        <is>
          <t>Estancar vazamento</t>
        </is>
      </c>
    </row>
    <row r="8">
      <c r="A8" s="4" t="inlineStr">
        <is>
          <t>Ler 12 livros</t>
        </is>
      </c>
      <c r="B8" s="4" t="n">
        <v>12</v>
      </c>
      <c r="C8" s="4" t="n">
        <v>5</v>
      </c>
      <c r="D8" s="5">
        <f>IF(B8=0,0,C8/B8)</f>
        <v/>
      </c>
      <c r="E8" s="4">
        <f>REPT("█",ROUNDDOWN(D8*10,0))&amp;REPT("░",10-ROUNDDOWN(D8*10,0))</f>
        <v/>
      </c>
      <c r="F8" s="7" t="n">
        <v>46387</v>
      </c>
      <c r="G8" s="4" t="inlineStr">
        <is>
          <t>Clareza e foco</t>
        </is>
      </c>
    </row>
    <row r="9">
      <c r="A9" s="4" t="inlineStr">
        <is>
          <t>Fechar 8 novos clientes</t>
        </is>
      </c>
      <c r="B9" s="4" t="n">
        <v>8</v>
      </c>
      <c r="C9" s="4" t="n">
        <v>3</v>
      </c>
      <c r="D9" s="5">
        <f>IF(B9=0,0,C9/B9)</f>
        <v/>
      </c>
      <c r="E9" s="4">
        <f>REPT("█",ROUNDDOWN(D9*10,0))&amp;REPT("░",10-ROUNDDOWN(D9*10,0))</f>
        <v/>
      </c>
      <c r="F9" s="7" t="n">
        <v>46387</v>
      </c>
      <c r="G9" s="4" t="inlineStr">
        <is>
          <t>Crescimento comercial</t>
        </is>
      </c>
    </row>
    <row r="10">
      <c r="A10" s="4" t="n"/>
      <c r="B10" s="4" t="n"/>
      <c r="C10" s="4" t="n"/>
      <c r="D10" s="5">
        <f>IF(OR(B10="",B10=0),"",C10/B10)</f>
        <v/>
      </c>
      <c r="E10" s="4">
        <f>IF(D10="","",REPT("█",ROUNDDOWN(D10*10,0))&amp;REPT("░",10-ROUNDDOWN(D10*10,0)))</f>
        <v/>
      </c>
      <c r="F10" s="7" t="n"/>
      <c r="G10" s="4" t="n"/>
    </row>
    <row r="11">
      <c r="A11" s="4" t="n"/>
      <c r="B11" s="4" t="n"/>
      <c r="C11" s="4" t="n"/>
      <c r="D11" s="5">
        <f>IF(OR(B11="",B11=0),"",C11/B11)</f>
        <v/>
      </c>
      <c r="E11" s="4">
        <f>IF(D11="","",REPT("█",ROUNDDOWN(D11*10,0))&amp;REPT("░",10-ROUNDDOWN(D11*10,0)))</f>
        <v/>
      </c>
      <c r="F11" s="7" t="n"/>
      <c r="G11" s="4" t="n"/>
    </row>
    <row r="12">
      <c r="A12" s="4" t="n"/>
      <c r="B12" s="4" t="n"/>
      <c r="C12" s="4" t="n"/>
      <c r="D12" s="5">
        <f>IF(OR(B12="",B12=0),"",C12/B12)</f>
        <v/>
      </c>
      <c r="E12" s="4">
        <f>IF(D12="","",REPT("█",ROUNDDOWN(D12*10,0))&amp;REPT("░",10-ROUNDDOWN(D12*10,0)))</f>
        <v/>
      </c>
      <c r="F12" s="7" t="n"/>
      <c r="G12" s="4" t="n"/>
    </row>
    <row r="13">
      <c r="A13" s="4" t="n"/>
      <c r="B13" s="4" t="n"/>
      <c r="C13" s="4" t="n"/>
      <c r="D13" s="5">
        <f>IF(OR(B13="",B13=0),"",C13/B13)</f>
        <v/>
      </c>
      <c r="E13" s="4">
        <f>IF(D13="","",REPT("█",ROUNDDOWN(D13*10,0))&amp;REPT("░",10-ROUNDDOWN(D13*10,0)))</f>
        <v/>
      </c>
      <c r="F13" s="7" t="n"/>
      <c r="G13" s="4" t="n"/>
    </row>
    <row r="14">
      <c r="A14" s="4" t="n"/>
      <c r="B14" s="4" t="n"/>
      <c r="C14" s="4" t="n"/>
      <c r="D14" s="5">
        <f>IF(OR(B14="",B14=0),"",C14/B14)</f>
        <v/>
      </c>
      <c r="E14" s="4">
        <f>IF(D14="","",REPT("█",ROUNDDOWN(D14*10,0))&amp;REPT("░",10-ROUNDDOWN(D14*10,0)))</f>
        <v/>
      </c>
      <c r="F14" s="7" t="n"/>
      <c r="G14" s="4" t="n"/>
    </row>
    <row r="15">
      <c r="A15" s="4" t="n"/>
      <c r="B15" s="4" t="n"/>
      <c r="C15" s="4" t="n"/>
      <c r="D15" s="5">
        <f>IF(OR(B15="",B15=0),"",C15/B15)</f>
        <v/>
      </c>
      <c r="E15" s="4">
        <f>IF(D15="","",REPT("█",ROUNDDOWN(D15*10,0))&amp;REPT("░",10-ROUNDDOWN(D15*10,0)))</f>
        <v/>
      </c>
      <c r="F15" s="7" t="n"/>
      <c r="G15" s="4" t="n"/>
    </row>
    <row r="16">
      <c r="A16" s="4" t="n"/>
      <c r="B16" s="4" t="n"/>
      <c r="C16" s="4" t="n"/>
      <c r="D16" s="5">
        <f>IF(OR(B16="",B16=0),"",C16/B16)</f>
        <v/>
      </c>
      <c r="E16" s="4">
        <f>IF(D16="","",REPT("█",ROUNDDOWN(D16*10,0))&amp;REPT("░",10-ROUNDDOWN(D16*10,0)))</f>
        <v/>
      </c>
      <c r="F16" s="7" t="n"/>
      <c r="G16" s="4" t="n"/>
    </row>
    <row r="17">
      <c r="A17" s="4" t="n"/>
      <c r="B17" s="4" t="n"/>
      <c r="C17" s="4" t="n"/>
      <c r="D17" s="5">
        <f>IF(OR(B17="",B17=0),"",C17/B17)</f>
        <v/>
      </c>
      <c r="E17" s="4">
        <f>IF(D17="","",REPT("█",ROUNDDOWN(D17*10,0))&amp;REPT("░",10-ROUNDDOWN(D17*10,0)))</f>
        <v/>
      </c>
      <c r="F17" s="7" t="n"/>
      <c r="G17" s="4" t="n"/>
    </row>
    <row r="18">
      <c r="A18" s="4" t="n"/>
      <c r="B18" s="4" t="n"/>
      <c r="C18" s="4" t="n"/>
      <c r="D18" s="5">
        <f>IF(OR(B18="",B18=0),"",C18/B18)</f>
        <v/>
      </c>
      <c r="E18" s="4">
        <f>IF(D18="","",REPT("█",ROUNDDOWN(D18*10,0))&amp;REPT("░",10-ROUNDDOWN(D18*10,0)))</f>
        <v/>
      </c>
      <c r="F18" s="7" t="n"/>
      <c r="G18" s="4" t="n"/>
    </row>
    <row r="19">
      <c r="A19" s="4" t="n"/>
      <c r="B19" s="4" t="n"/>
      <c r="C19" s="4" t="n"/>
      <c r="D19" s="5">
        <f>IF(OR(B19="",B19=0),"",C19/B19)</f>
        <v/>
      </c>
      <c r="E19" s="4">
        <f>IF(D19="","",REPT("█",ROUNDDOWN(D19*10,0))&amp;REPT("░",10-ROUNDDOWN(D19*10,0)))</f>
        <v/>
      </c>
      <c r="F19" s="7" t="n"/>
      <c r="G19" s="4" t="n"/>
    </row>
  </sheetData>
  <mergeCells count="2">
    <mergeCell ref="A2:F2"/>
    <mergeCell ref="A1:F1"/>
  </mergeCells>
  <conditionalFormatting sqref="D5:D19">
    <cfRule type="colorScale" priority="1">
      <colorScale>
        <cfvo type="num" val="0"/>
        <cfvo type="num" val="0.5"/>
        <cfvo type="num" val="1"/>
        <color rgb="00FEE2E2"/>
        <color rgb="00FEF3C7"/>
        <color rgb="00D1FAE5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28" customWidth="1" min="10" max="10"/>
  </cols>
  <sheetData>
    <row r="1" ht="28" customHeight="1">
      <c r="A1" s="1" t="inlineStr">
        <is>
          <t>Trust Excel · Hábitos da Semana</t>
        </is>
      </c>
    </row>
    <row r="2">
      <c r="A2" s="2" t="inlineStr">
        <is>
          <t>Marque x nos dias cumpridos · consistência automática</t>
        </is>
      </c>
    </row>
    <row r="3"/>
    <row r="4">
      <c r="A4" s="6" t="inlineStr">
        <is>
          <t>Hábito</t>
        </is>
      </c>
      <c r="B4" s="6" t="inlineStr">
        <is>
          <t>Seg</t>
        </is>
      </c>
      <c r="C4" s="6" t="inlineStr">
        <is>
          <t>Ter</t>
        </is>
      </c>
      <c r="D4" s="6" t="inlineStr">
        <is>
          <t>Qua</t>
        </is>
      </c>
      <c r="E4" s="6" t="inlineStr">
        <is>
          <t>Qui</t>
        </is>
      </c>
      <c r="F4" s="6" t="inlineStr">
        <is>
          <t>Sex</t>
        </is>
      </c>
      <c r="G4" s="6" t="inlineStr">
        <is>
          <t>Sáb</t>
        </is>
      </c>
      <c r="H4" s="6" t="inlineStr">
        <is>
          <t>Dom</t>
        </is>
      </c>
      <c r="I4" s="6" t="inlineStr">
        <is>
          <t>% Semana</t>
        </is>
      </c>
      <c r="J4" s="6" t="inlineStr">
        <is>
          <t>Status</t>
        </is>
      </c>
    </row>
    <row r="5">
      <c r="A5" s="4" t="inlineStr">
        <is>
          <t>Treinar</t>
        </is>
      </c>
      <c r="B5" s="8" t="n"/>
      <c r="C5" s="8" t="inlineStr">
        <is>
          <t>x</t>
        </is>
      </c>
      <c r="D5" s="8" t="inlineStr">
        <is>
          <t>x</t>
        </is>
      </c>
      <c r="E5" s="8" t="inlineStr">
        <is>
          <t>x</t>
        </is>
      </c>
      <c r="F5" s="8" t="inlineStr">
        <is>
          <t>x</t>
        </is>
      </c>
      <c r="G5" s="8" t="n"/>
      <c r="H5" s="8" t="inlineStr">
        <is>
          <t>x</t>
        </is>
      </c>
      <c r="I5" s="5">
        <f>COUNTIF(B5:H5,"x")/7</f>
        <v/>
      </c>
      <c r="J5" s="4">
        <f>IF(I5&gt;=0.8,"🔥 Consistente",IF(I5&gt;=0.5,"Em progresso","⚠ Frágil"))</f>
        <v/>
      </c>
    </row>
    <row r="6">
      <c r="A6" s="4" t="inlineStr">
        <is>
          <t>Ler 20 min</t>
        </is>
      </c>
      <c r="B6" s="8" t="n"/>
      <c r="C6" s="8" t="inlineStr">
        <is>
          <t>x</t>
        </is>
      </c>
      <c r="D6" s="8" t="inlineStr">
        <is>
          <t>x</t>
        </is>
      </c>
      <c r="E6" s="8" t="n"/>
      <c r="F6" s="8" t="inlineStr">
        <is>
          <t>x</t>
        </is>
      </c>
      <c r="G6" s="8" t="n"/>
      <c r="H6" s="8" t="inlineStr">
        <is>
          <t>x</t>
        </is>
      </c>
      <c r="I6" s="5">
        <f>COUNTIF(B6:H6,"x")/7</f>
        <v/>
      </c>
      <c r="J6" s="4">
        <f>IF(I6&gt;=0.8,"🔥 Consistente",IF(I6&gt;=0.5,"Em progresso","⚠ Frágil"))</f>
        <v/>
      </c>
    </row>
    <row r="7">
      <c r="A7" s="4" t="inlineStr">
        <is>
          <t>Prospecção comercial</t>
        </is>
      </c>
      <c r="B7" s="8" t="inlineStr">
        <is>
          <t>x</t>
        </is>
      </c>
      <c r="C7" s="8" t="inlineStr">
        <is>
          <t>x</t>
        </is>
      </c>
      <c r="D7" s="8" t="inlineStr">
        <is>
          <t>x</t>
        </is>
      </c>
      <c r="E7" s="8" t="inlineStr">
        <is>
          <t>x</t>
        </is>
      </c>
      <c r="F7" s="8" t="inlineStr">
        <is>
          <t>x</t>
        </is>
      </c>
      <c r="G7" s="8" t="inlineStr">
        <is>
          <t>x</t>
        </is>
      </c>
      <c r="H7" s="8" t="inlineStr">
        <is>
          <t>x</t>
        </is>
      </c>
      <c r="I7" s="5">
        <f>COUNTIF(B7:H7,"x")/7</f>
        <v/>
      </c>
      <c r="J7" s="4">
        <f>IF(I7&gt;=0.8,"🔥 Consistente",IF(I7&gt;=0.5,"Em progresso","⚠ Frágil"))</f>
        <v/>
      </c>
    </row>
    <row r="8">
      <c r="A8" s="4" t="inlineStr">
        <is>
          <t>Registrar finanças</t>
        </is>
      </c>
      <c r="B8" s="8" t="inlineStr">
        <is>
          <t>x</t>
        </is>
      </c>
      <c r="C8" s="8" t="inlineStr">
        <is>
          <t>x</t>
        </is>
      </c>
      <c r="D8" s="8" t="inlineStr">
        <is>
          <t>x</t>
        </is>
      </c>
      <c r="E8" s="8" t="n"/>
      <c r="F8" s="8" t="inlineStr">
        <is>
          <t>x</t>
        </is>
      </c>
      <c r="G8" s="8" t="inlineStr">
        <is>
          <t>x</t>
        </is>
      </c>
      <c r="H8" s="8" t="inlineStr">
        <is>
          <t>x</t>
        </is>
      </c>
      <c r="I8" s="5">
        <f>COUNTIF(B8:H8,"x")/7</f>
        <v/>
      </c>
      <c r="J8" s="4">
        <f>IF(I8&gt;=0.8,"🔥 Consistente",IF(I8&gt;=0.5,"Em progresso","⚠ Frágil"))</f>
        <v/>
      </c>
    </row>
    <row r="9">
      <c r="A9" s="4" t="inlineStr">
        <is>
          <t>Dormir 7h</t>
        </is>
      </c>
      <c r="B9" s="8" t="n"/>
      <c r="C9" s="8" t="inlineStr">
        <is>
          <t>x</t>
        </is>
      </c>
      <c r="D9" s="8" t="n"/>
      <c r="E9" s="8" t="n"/>
      <c r="F9" s="8" t="inlineStr">
        <is>
          <t>x</t>
        </is>
      </c>
      <c r="G9" s="8" t="n"/>
      <c r="H9" s="8" t="inlineStr">
        <is>
          <t>x</t>
        </is>
      </c>
      <c r="I9" s="5">
        <f>COUNTIF(B9:H9,"x")/7</f>
        <v/>
      </c>
      <c r="J9" s="4">
        <f>IF(I9&gt;=0.8,"🔥 Consistente",IF(I9&gt;=0.5,"Em progresso","⚠ Frágil"))</f>
        <v/>
      </c>
    </row>
  </sheetData>
  <mergeCells count="2">
    <mergeCell ref="A1:J1"/>
    <mergeCell ref="A2:J2"/>
  </mergeCells>
  <conditionalFormatting sqref="B5:H50">
    <cfRule type="expression" priority="1" dxfId="0">
      <formula>B5="x"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2026-07-22T15:48:48Z</dcterms:created>
  <dcterms:modified xmlns:dcterms="http://purl.org/dc/terms/" xmlns:xsi="http://www.w3.org/2001/XMLSchema-instance" xsi:type="dcterms:W3CDTF">2026-07-22T15:48:48Z</dcterms:modified>
</cp:coreProperties>
</file>