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METAS" sheetId="2" state="visible" r:id="rId2"/>
    <sheet xmlns:r="http://schemas.openxmlformats.org/officeDocument/2006/relationships" name="HABIT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yyyy-mm-dd"/>
    <numFmt numFmtId="166" formatCode="DD/MM/YYYY"/>
  </numFmts>
  <fonts count="8">
    <font>
      <name val="Calibri"/>
      <family val="2"/>
      <color theme="1"/>
      <sz val="11"/>
      <scheme val="minor"/>
    </font>
    <font>
      <name val="Calibri"/>
      <b val="1"/>
      <color rgb="00C99C66"/>
      <sz val="11"/>
    </font>
    <font>
      <name val="Calibri"/>
      <b val="1"/>
      <color rgb="000A1322"/>
      <sz val="20"/>
    </font>
    <font>
      <name val="Calibri"/>
      <color rgb="008593A8"/>
      <sz val="11"/>
    </font>
    <font>
      <name val="Calibri"/>
      <b val="1"/>
      <color rgb="00FFFFFF"/>
      <sz val="11"/>
    </font>
    <font>
      <name val="Calibri"/>
      <b val="1"/>
      <color rgb="008593A8"/>
      <sz val="10"/>
    </font>
    <font>
      <name val="Calibri"/>
      <b val="1"/>
      <color rgb="000A1322"/>
      <sz val="18"/>
    </font>
    <font>
      <i val="1"/>
      <color rgb="008593A8"/>
    </font>
  </fonts>
  <fills count="4">
    <fill>
      <patternFill/>
    </fill>
    <fill>
      <patternFill patternType="gray125"/>
    </fill>
    <fill>
      <patternFill patternType="solid">
        <fgColor rgb="000A1322"/>
      </patternFill>
    </fill>
    <fill>
      <patternFill patternType="solid">
        <fgColor rgb="00F8F4EE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3" fillId="0" borderId="0" pivotButton="0" quotePrefix="0" xfId="0"/>
    <xf numFmtId="0" fontId="5" fillId="3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166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dxfs count="1">
    <dxf>
      <fill>
        <patternFill patternType="solid">
          <fgColor rgb="00D1FAE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Progresso das metas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'METAS'!D5</f>
            </strRef>
          </tx>
          <spPr>
            <a:ln xmlns:a="http://schemas.openxmlformats.org/drawingml/2006/main">
              <a:prstDash val="solid"/>
            </a:ln>
          </spPr>
          <cat>
            <numRef>
              <f>'METAS'!$A$6:$A$10</f>
            </numRef>
          </cat>
          <val>
            <numRef>
              <f>'METAS'!$D$6:$D$10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7</row>
      <rowOff>0</rowOff>
    </from>
    <ext cx="54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30" customWidth="1" min="1" max="1"/>
    <col width="24" customWidth="1" min="2" max="2"/>
    <col width="18" customWidth="1" min="3" max="3"/>
    <col width="30" customWidth="1" min="4" max="4"/>
    <col width="12" customWidth="1" min="5" max="5"/>
    <col width="26" customWidth="1" min="6" max="6"/>
    <col width="15" customWidth="1" min="7" max="7"/>
    <col width="30" customWidth="1" min="8" max="8"/>
  </cols>
  <sheetData>
    <row r="1" ht="24" customHeight="1">
      <c r="A1" s="1" t="inlineStr">
        <is>
          <t>TRUST EXCEL  ·  TRUST CORPORATION</t>
        </is>
      </c>
    </row>
    <row r="2" ht="30" customHeight="1">
      <c r="A2" s="2" t="inlineStr">
        <is>
          <t>Dashboard Metas &amp; Hábitos</t>
        </is>
      </c>
    </row>
    <row r="3">
      <c r="A3" s="3" t="inlineStr">
        <is>
          <t>Progresso, consistência e ranking visual</t>
        </is>
      </c>
    </row>
    <row r="4"/>
    <row r="5">
      <c r="A5" s="4" t="inlineStr">
        <is>
          <t>METAS ATIVAS</t>
        </is>
      </c>
      <c r="B5" s="5">
        <f>COUNTA(METAS!A6:A50)</f>
        <v/>
      </c>
      <c r="C5" s="4" t="inlineStr">
        <is>
          <t>PROGRESSO MÉDIO</t>
        </is>
      </c>
      <c r="D5" s="6">
        <f>IFERROR(AVERAGE(METAS!D6:D50),0)</f>
        <v/>
      </c>
      <c r="E5" s="4" t="inlineStr">
        <is>
          <t>HÁBITOS</t>
        </is>
      </c>
      <c r="F5" s="5">
        <f>COUNTA(HABITOS!A6:A50)</f>
        <v/>
      </c>
      <c r="G5" s="4" t="inlineStr">
        <is>
          <t>CONSISTÊNCIA</t>
        </is>
      </c>
      <c r="H5" s="6">
        <f>IFERROR(AVERAGE(HABITOS!I6:I50),0)</f>
        <v/>
      </c>
    </row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>
      <c r="A24" s="7" t="inlineStr">
        <is>
          <t>Ritual TrustCorp: 10 minutos no domingo. Atualize Realizado e marque hábitos. O dashboard faz o resto.</t>
        </is>
      </c>
    </row>
  </sheetData>
  <mergeCells count="3">
    <mergeCell ref="A3:H3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34" customWidth="1" min="4" max="4"/>
    <col width="20" customWidth="1" min="5" max="5"/>
    <col width="13" customWidth="1" min="6" max="6"/>
    <col width="24" customWidth="1" min="7" max="7"/>
  </cols>
  <sheetData>
    <row r="1" ht="24" customHeight="1">
      <c r="A1" s="1" t="inlineStr">
        <is>
          <t>TRUST EXCEL  ·  TRUST CORPORATION</t>
        </is>
      </c>
    </row>
    <row r="2" ht="30" customHeight="1">
      <c r="A2" s="2" t="inlineStr">
        <is>
          <t>Metas do Ano</t>
        </is>
      </c>
    </row>
    <row r="3">
      <c r="A3" s="3" t="inlineStr">
        <is>
          <t>Progresso automático com barra visual</t>
        </is>
      </c>
    </row>
    <row r="4"/>
    <row r="5" ht="22" customHeight="1">
      <c r="A5" s="8" t="inlineStr">
        <is>
          <t>Meta</t>
        </is>
      </c>
      <c r="B5" s="8" t="inlineStr">
        <is>
          <t>Valor-alvo</t>
        </is>
      </c>
      <c r="C5" s="8" t="inlineStr">
        <is>
          <t>Realizado</t>
        </is>
      </c>
      <c r="D5" s="8" t="inlineStr">
        <is>
          <t>% Progresso</t>
        </is>
      </c>
      <c r="E5" s="8" t="inlineStr">
        <is>
          <t>Barra visual</t>
        </is>
      </c>
      <c r="F5" s="8" t="inlineStr">
        <is>
          <t>Prazo</t>
        </is>
      </c>
      <c r="G5" s="8" t="inlineStr">
        <is>
          <t>Por quê</t>
        </is>
      </c>
    </row>
    <row r="6">
      <c r="A6" s="9" t="inlineStr">
        <is>
          <t>Faturar R$ 30 mil/mês</t>
        </is>
      </c>
      <c r="B6" s="9" t="n">
        <v>30000</v>
      </c>
      <c r="C6" s="9" t="n">
        <v>19200</v>
      </c>
      <c r="D6" s="10">
        <f>IF(B6=0,0,C6/B6)</f>
        <v/>
      </c>
      <c r="E6" s="9">
        <f>REPT("█",ROUNDDOWN(D6*12,0))&amp;REPT("░",12-ROUNDDOWN(D6*12,0))</f>
        <v/>
      </c>
      <c r="F6" s="11" t="n">
        <v>46387</v>
      </c>
      <c r="G6" s="9" t="inlineStr">
        <is>
          <t>Liberdade financeira</t>
        </is>
      </c>
    </row>
    <row r="7">
      <c r="A7" s="9" t="inlineStr">
        <is>
          <t>Criar reserva de emergência</t>
        </is>
      </c>
      <c r="B7" s="9" t="n">
        <v>20000</v>
      </c>
      <c r="C7" s="9" t="n">
        <v>11000</v>
      </c>
      <c r="D7" s="10">
        <f>IF(B7=0,0,C7/B7)</f>
        <v/>
      </c>
      <c r="E7" s="9">
        <f>REPT("█",ROUNDDOWN(D7*12,0))&amp;REPT("░",12-ROUNDDOWN(D7*12,0))</f>
        <v/>
      </c>
      <c r="F7" s="11" t="n">
        <v>46296</v>
      </c>
      <c r="G7" s="9" t="inlineStr">
        <is>
          <t>Segurança</t>
        </is>
      </c>
    </row>
    <row r="8">
      <c r="A8" s="9" t="inlineStr">
        <is>
          <t>Reduzir assinaturas ociosas</t>
        </is>
      </c>
      <c r="B8" s="9" t="n">
        <v>200</v>
      </c>
      <c r="C8" s="9" t="n">
        <v>95</v>
      </c>
      <c r="D8" s="10">
        <f>IF(B8=0,0,C8/B8)</f>
        <v/>
      </c>
      <c r="E8" s="9">
        <f>REPT("█",ROUNDDOWN(D8*12,0))&amp;REPT("░",12-ROUNDDOWN(D8*12,0))</f>
        <v/>
      </c>
      <c r="F8" s="11" t="n">
        <v>46265</v>
      </c>
      <c r="G8" s="9" t="inlineStr">
        <is>
          <t>Estancar vazamento</t>
        </is>
      </c>
    </row>
    <row r="9">
      <c r="A9" s="9" t="inlineStr">
        <is>
          <t>Ler 12 livros</t>
        </is>
      </c>
      <c r="B9" s="9" t="n">
        <v>12</v>
      </c>
      <c r="C9" s="9" t="n">
        <v>6</v>
      </c>
      <c r="D9" s="10">
        <f>IF(B9=0,0,C9/B9)</f>
        <v/>
      </c>
      <c r="E9" s="9">
        <f>REPT("█",ROUNDDOWN(D9*12,0))&amp;REPT("░",12-ROUNDDOWN(D9*12,0))</f>
        <v/>
      </c>
      <c r="F9" s="11" t="n">
        <v>46387</v>
      </c>
      <c r="G9" s="9" t="inlineStr">
        <is>
          <t>Clareza e foco</t>
        </is>
      </c>
    </row>
    <row r="10">
      <c r="A10" s="9" t="inlineStr">
        <is>
          <t>Fechar 8 novos clientes</t>
        </is>
      </c>
      <c r="B10" s="9" t="n">
        <v>8</v>
      </c>
      <c r="C10" s="9" t="n">
        <v>4</v>
      </c>
      <c r="D10" s="10">
        <f>IF(B10=0,0,C10/B10)</f>
        <v/>
      </c>
      <c r="E10" s="9">
        <f>REPT("█",ROUNDDOWN(D10*12,0))&amp;REPT("░",12-ROUNDDOWN(D10*12,0))</f>
        <v/>
      </c>
      <c r="F10" s="11" t="n">
        <v>46387</v>
      </c>
      <c r="G10" s="9" t="inlineStr">
        <is>
          <t>Crescimento comercial</t>
        </is>
      </c>
    </row>
    <row r="11">
      <c r="A11" s="9" t="n"/>
      <c r="B11" s="9" t="n"/>
      <c r="C11" s="9" t="n"/>
      <c r="D11" s="10">
        <f>IF(OR(B11="",B11=0),"",C11/B11)</f>
        <v/>
      </c>
      <c r="E11" s="9">
        <f>IF(D11="","",REPT("█",ROUNDDOWN(D11*12,0))&amp;REPT("░",12-ROUNDDOWN(D11*12,0)))</f>
        <v/>
      </c>
      <c r="F11" s="11" t="n"/>
      <c r="G11" s="9" t="n"/>
    </row>
    <row r="12">
      <c r="A12" s="9" t="n"/>
      <c r="B12" s="9" t="n"/>
      <c r="C12" s="9" t="n"/>
      <c r="D12" s="10">
        <f>IF(OR(B12="",B12=0),"",C12/B12)</f>
        <v/>
      </c>
      <c r="E12" s="9">
        <f>IF(D12="","",REPT("█",ROUNDDOWN(D12*12,0))&amp;REPT("░",12-ROUNDDOWN(D12*12,0)))</f>
        <v/>
      </c>
      <c r="F12" s="11" t="n"/>
      <c r="G12" s="9" t="n"/>
    </row>
    <row r="13">
      <c r="A13" s="9" t="n"/>
      <c r="B13" s="9" t="n"/>
      <c r="C13" s="9" t="n"/>
      <c r="D13" s="10">
        <f>IF(OR(B13="",B13=0),"",C13/B13)</f>
        <v/>
      </c>
      <c r="E13" s="9">
        <f>IF(D13="","",REPT("█",ROUNDDOWN(D13*12,0))&amp;REPT("░",12-ROUNDDOWN(D13*12,0)))</f>
        <v/>
      </c>
      <c r="F13" s="11" t="n"/>
      <c r="G13" s="9" t="n"/>
    </row>
    <row r="14">
      <c r="A14" s="9" t="n"/>
      <c r="B14" s="9" t="n"/>
      <c r="C14" s="9" t="n"/>
      <c r="D14" s="10">
        <f>IF(OR(B14="",B14=0),"",C14/B14)</f>
        <v/>
      </c>
      <c r="E14" s="9">
        <f>IF(D14="","",REPT("█",ROUNDDOWN(D14*12,0))&amp;REPT("░",12-ROUNDDOWN(D14*12,0)))</f>
        <v/>
      </c>
      <c r="F14" s="11" t="n"/>
      <c r="G14" s="9" t="n"/>
    </row>
    <row r="15">
      <c r="A15" s="9" t="n"/>
      <c r="B15" s="9" t="n"/>
      <c r="C15" s="9" t="n"/>
      <c r="D15" s="10">
        <f>IF(OR(B15="",B15=0),"",C15/B15)</f>
        <v/>
      </c>
      <c r="E15" s="9">
        <f>IF(D15="","",REPT("█",ROUNDDOWN(D15*12,0))&amp;REPT("░",12-ROUNDDOWN(D15*12,0)))</f>
        <v/>
      </c>
      <c r="F15" s="11" t="n"/>
      <c r="G15" s="9" t="n"/>
    </row>
    <row r="16">
      <c r="A16" s="9" t="n"/>
      <c r="B16" s="9" t="n"/>
      <c r="C16" s="9" t="n"/>
      <c r="D16" s="10">
        <f>IF(OR(B16="",B16=0),"",C16/B16)</f>
        <v/>
      </c>
      <c r="E16" s="9">
        <f>IF(D16="","",REPT("█",ROUNDDOWN(D16*12,0))&amp;REPT("░",12-ROUNDDOWN(D16*12,0)))</f>
        <v/>
      </c>
      <c r="F16" s="11" t="n"/>
      <c r="G16" s="9" t="n"/>
    </row>
    <row r="17">
      <c r="A17" s="9" t="n"/>
      <c r="B17" s="9" t="n"/>
      <c r="C17" s="9" t="n"/>
      <c r="D17" s="10">
        <f>IF(OR(B17="",B17=0),"",C17/B17)</f>
        <v/>
      </c>
      <c r="E17" s="9">
        <f>IF(D17="","",REPT("█",ROUNDDOWN(D17*12,0))&amp;REPT("░",12-ROUNDDOWN(D17*12,0)))</f>
        <v/>
      </c>
      <c r="F17" s="11" t="n"/>
      <c r="G17" s="9" t="n"/>
    </row>
    <row r="18">
      <c r="A18" s="9" t="n"/>
      <c r="B18" s="9" t="n"/>
      <c r="C18" s="9" t="n"/>
      <c r="D18" s="10">
        <f>IF(OR(B18="",B18=0),"",C18/B18)</f>
        <v/>
      </c>
      <c r="E18" s="9">
        <f>IF(D18="","",REPT("█",ROUNDDOWN(D18*12,0))&amp;REPT("░",12-ROUNDDOWN(D18*12,0)))</f>
        <v/>
      </c>
      <c r="F18" s="11" t="n"/>
      <c r="G18" s="9" t="n"/>
    </row>
    <row r="19">
      <c r="A19" s="9" t="n"/>
      <c r="B19" s="9" t="n"/>
      <c r="C19" s="9" t="n"/>
      <c r="D19" s="10">
        <f>IF(OR(B19="",B19=0),"",C19/B19)</f>
        <v/>
      </c>
      <c r="E19" s="9">
        <f>IF(D19="","",REPT("█",ROUNDDOWN(D19*12,0))&amp;REPT("░",12-ROUNDDOWN(D19*12,0)))</f>
        <v/>
      </c>
      <c r="F19" s="11" t="n"/>
      <c r="G19" s="9" t="n"/>
    </row>
  </sheetData>
  <mergeCells count="3">
    <mergeCell ref="A3:G3"/>
    <mergeCell ref="A2:G2"/>
    <mergeCell ref="A1:G1"/>
  </mergeCells>
  <conditionalFormatting sqref="D6:D19">
    <cfRule type="colorScale" priority="1">
      <colorScale>
        <cfvo type="num" val="0"/>
        <cfvo type="num" val="0.5"/>
        <cfvo type="num" val="1"/>
        <color rgb="00FEE2E2"/>
        <color rgb="00FEF3C7"/>
        <color rgb="00D1FAE5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26" customWidth="1" min="9" max="9"/>
    <col width="30" customWidth="1" min="10" max="10"/>
  </cols>
  <sheetData>
    <row r="1" ht="24" customHeight="1">
      <c r="A1" s="1" t="inlineStr">
        <is>
          <t>TRUST EXCEL  ·  TRUST CORPORATION</t>
        </is>
      </c>
    </row>
    <row r="2" ht="30" customHeight="1">
      <c r="A2" s="2" t="inlineStr">
        <is>
          <t>Hábitos da Semana</t>
        </is>
      </c>
    </row>
    <row r="3">
      <c r="A3" s="3" t="inlineStr">
        <is>
          <t>Marque x · consistência automática</t>
        </is>
      </c>
    </row>
    <row r="4"/>
    <row r="5" ht="22" customHeight="1">
      <c r="A5" s="8" t="inlineStr">
        <is>
          <t>Hábito</t>
        </is>
      </c>
      <c r="B5" s="8" t="inlineStr">
        <is>
          <t>Seg</t>
        </is>
      </c>
      <c r="C5" s="8" t="inlineStr">
        <is>
          <t>Ter</t>
        </is>
      </c>
      <c r="D5" s="8" t="inlineStr">
        <is>
          <t>Qua</t>
        </is>
      </c>
      <c r="E5" s="8" t="inlineStr">
        <is>
          <t>Qui</t>
        </is>
      </c>
      <c r="F5" s="8" t="inlineStr">
        <is>
          <t>Sex</t>
        </is>
      </c>
      <c r="G5" s="8" t="inlineStr">
        <is>
          <t>Sáb</t>
        </is>
      </c>
      <c r="H5" s="8" t="inlineStr">
        <is>
          <t>Dom</t>
        </is>
      </c>
      <c r="I5" s="8" t="inlineStr">
        <is>
          <t>% Semana</t>
        </is>
      </c>
      <c r="J5" s="8" t="inlineStr">
        <is>
          <t>Status</t>
        </is>
      </c>
    </row>
    <row r="6">
      <c r="A6" s="9" t="inlineStr">
        <is>
          <t>Treinar</t>
        </is>
      </c>
      <c r="B6" s="12" t="inlineStr">
        <is>
          <t>x</t>
        </is>
      </c>
      <c r="C6" s="12" t="n"/>
      <c r="D6" s="12" t="inlineStr">
        <is>
          <t>x</t>
        </is>
      </c>
      <c r="E6" s="12" t="n"/>
      <c r="F6" s="12" t="inlineStr">
        <is>
          <t>x</t>
        </is>
      </c>
      <c r="G6" s="12" t="inlineStr">
        <is>
          <t>x</t>
        </is>
      </c>
      <c r="H6" s="12" t="n"/>
      <c r="I6" s="10">
        <f>COUNTIF(B6:H6,"x")/7</f>
        <v/>
      </c>
      <c r="J6" s="9">
        <f>IF(I6&gt;=0.8,"🔥 Consistente",IF(I6&gt;=0.5,"Em progresso","⚠ Frágil"))</f>
        <v/>
      </c>
    </row>
    <row r="7">
      <c r="A7" s="9" t="inlineStr">
        <is>
          <t>Ler 20 min</t>
        </is>
      </c>
      <c r="B7" s="12" t="inlineStr">
        <is>
          <t>x</t>
        </is>
      </c>
      <c r="C7" s="12" t="n"/>
      <c r="D7" s="12" t="inlineStr">
        <is>
          <t>x</t>
        </is>
      </c>
      <c r="E7" s="12" t="n"/>
      <c r="F7" s="12" t="n"/>
      <c r="G7" s="12" t="inlineStr">
        <is>
          <t>x</t>
        </is>
      </c>
      <c r="H7" s="12" t="inlineStr">
        <is>
          <t>x</t>
        </is>
      </c>
      <c r="I7" s="10">
        <f>COUNTIF(B7:H7,"x")/7</f>
        <v/>
      </c>
      <c r="J7" s="9">
        <f>IF(I7&gt;=0.8,"🔥 Consistente",IF(I7&gt;=0.5,"Em progresso","⚠ Frágil"))</f>
        <v/>
      </c>
    </row>
    <row r="8">
      <c r="A8" s="9" t="inlineStr">
        <is>
          <t>Prospecção comercial</t>
        </is>
      </c>
      <c r="B8" s="12" t="n"/>
      <c r="C8" s="12" t="n"/>
      <c r="D8" s="12" t="inlineStr">
        <is>
          <t>x</t>
        </is>
      </c>
      <c r="E8" s="12" t="inlineStr">
        <is>
          <t>x</t>
        </is>
      </c>
      <c r="F8" s="12" t="inlineStr">
        <is>
          <t>x</t>
        </is>
      </c>
      <c r="G8" s="12" t="inlineStr">
        <is>
          <t>x</t>
        </is>
      </c>
      <c r="H8" s="12" t="inlineStr">
        <is>
          <t>x</t>
        </is>
      </c>
      <c r="I8" s="10">
        <f>COUNTIF(B8:H8,"x")/7</f>
        <v/>
      </c>
      <c r="J8" s="9">
        <f>IF(I8&gt;=0.8,"🔥 Consistente",IF(I8&gt;=0.5,"Em progresso","⚠ Frágil"))</f>
        <v/>
      </c>
    </row>
    <row r="9">
      <c r="A9" s="9" t="inlineStr">
        <is>
          <t>Registrar finanças</t>
        </is>
      </c>
      <c r="B9" s="12" t="n"/>
      <c r="C9" s="12" t="inlineStr">
        <is>
          <t>x</t>
        </is>
      </c>
      <c r="D9" s="12" t="n"/>
      <c r="E9" s="12" t="n"/>
      <c r="F9" s="12" t="n"/>
      <c r="G9" s="12" t="inlineStr">
        <is>
          <t>x</t>
        </is>
      </c>
      <c r="H9" s="12" t="inlineStr">
        <is>
          <t>x</t>
        </is>
      </c>
      <c r="I9" s="10">
        <f>COUNTIF(B9:H9,"x")/7</f>
        <v/>
      </c>
      <c r="J9" s="9">
        <f>IF(I9&gt;=0.8,"🔥 Consistente",IF(I9&gt;=0.5,"Em progresso","⚠ Frágil"))</f>
        <v/>
      </c>
    </row>
    <row r="10">
      <c r="A10" s="9" t="inlineStr">
        <is>
          <t>Dormir 7h</t>
        </is>
      </c>
      <c r="B10" s="12" t="n"/>
      <c r="C10" s="12" t="inlineStr">
        <is>
          <t>x</t>
        </is>
      </c>
      <c r="D10" s="12" t="inlineStr">
        <is>
          <t>x</t>
        </is>
      </c>
      <c r="E10" s="12" t="inlineStr">
        <is>
          <t>x</t>
        </is>
      </c>
      <c r="F10" s="12" t="inlineStr">
        <is>
          <t>x</t>
        </is>
      </c>
      <c r="G10" s="12" t="n"/>
      <c r="H10" s="12" t="n"/>
      <c r="I10" s="10">
        <f>COUNTIF(B10:H10,"x")/7</f>
        <v/>
      </c>
      <c r="J10" s="9">
        <f>IF(I10&gt;=0.8,"🔥 Consistente",IF(I10&gt;=0.5,"Em progresso","⚠ Frágil"))</f>
        <v/>
      </c>
    </row>
  </sheetData>
  <mergeCells count="3">
    <mergeCell ref="A1:J1"/>
    <mergeCell ref="A3:J3"/>
    <mergeCell ref="A2:J2"/>
  </mergeCells>
  <conditionalFormatting sqref="B6:H50">
    <cfRule type="expression" priority="1" dxfId="0">
      <formula>B6="x"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2026-07-22T15:59:59Z</dcterms:created>
  <dcterms:modified xmlns:dcterms="http://purl.org/dc/terms/" xmlns:xsi="http://www.w3.org/2001/XMLSchema-instance" xsi:type="dcterms:W3CDTF">2026-07-22T15:59:59Z</dcterms:modified>
</cp:coreProperties>
</file>