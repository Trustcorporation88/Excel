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"/>
    <numFmt numFmtId="167" formatCode="+0.0%;-0.0%;0.0%"/>
  </numFmts>
  <fonts count="11">
    <font>
      <name val="Calibri"/>
      <family val="2"/>
      <color theme="1"/>
      <sz val="11"/>
      <scheme val="minor"/>
    </font>
    <font>
      <name val="Calibri"/>
      <b val="1"/>
      <color rgb="00C99C66"/>
      <sz val="11"/>
    </font>
    <font>
      <name val="Calibri"/>
      <b val="1"/>
      <color rgb="000A1322"/>
      <sz val="20"/>
    </font>
    <font>
      <name val="Calibri"/>
      <color rgb="008593A8"/>
      <sz val="11"/>
    </font>
    <font>
      <name val="Calibri"/>
      <b val="1"/>
      <color rgb="00FFFFFF"/>
      <sz val="11"/>
    </font>
    <font>
      <name val="Calibri"/>
      <b val="1"/>
      <color rgb="008593A8"/>
      <sz val="10"/>
    </font>
    <font>
      <name val="Calibri"/>
      <b val="1"/>
      <color rgb="000A1322"/>
      <sz val="18"/>
    </font>
    <font>
      <b val="1"/>
      <color rgb="00C99C66"/>
      <sz val="12"/>
    </font>
    <font>
      <b val="1"/>
      <color rgb="00065F46"/>
      <sz val="13"/>
    </font>
    <font>
      <b val="1"/>
      <sz val="12"/>
    </font>
    <font>
      <i val="1"/>
      <color rgb="008593A8"/>
    </font>
  </fonts>
  <fills count="5">
    <fill>
      <patternFill/>
    </fill>
    <fill>
      <patternFill patternType="gray125"/>
    </fill>
    <fill>
      <patternFill patternType="solid">
        <fgColor rgb="000A1322"/>
      </patternFill>
    </fill>
    <fill>
      <patternFill patternType="solid">
        <fgColor rgb="00F8F4EE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5" fillId="3" borderId="1" pivotButton="0" quotePrefix="0" xfId="0"/>
    <xf numFmtId="166" fontId="6" fillId="0" borderId="1" pivotButton="0" quotePrefix="0" xfId="0"/>
    <xf numFmtId="167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0" applyAlignment="1" pivotButton="0" quotePrefix="0" xfId="0">
      <alignment vertical="center" wrapText="1"/>
    </xf>
    <xf numFmtId="0" fontId="9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0" fontId="10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Semana atual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'DASHBOARD'!$A$17:$A$19</f>
            </numRef>
          </cat>
          <val>
            <numRef>
              <f>'DASHBOARD'!$B$17:$B$19</f>
            </numRef>
          </val>
        </ser>
        <ser>
          <idx val="1"/>
          <order val="1"/>
          <tx>
            <strRef>
              <f>'DASHBOARD'!C16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'DASHBOARD'!$A$17:$A$19</f>
            </numRef>
          </cat>
          <val>
            <numRef>
              <f>'DASHBOARD'!$C$17:$C$19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12" customWidth="1" min="5" max="5"/>
    <col width="28" customWidth="1" min="6" max="6"/>
  </cols>
  <sheetData>
    <row r="1" ht="24" customHeight="1">
      <c r="A1" s="1" t="inlineStr">
        <is>
          <t>TRUST EXCEL  ·  TRUST CORPORATION</t>
        </is>
      </c>
    </row>
    <row r="2" ht="30" customHeight="1">
      <c r="A2" s="2" t="inlineStr">
        <is>
          <t>Relatório que se Monta Sozinho</t>
        </is>
      </c>
    </row>
    <row r="3">
      <c r="A3" s="3" t="inlineStr">
        <is>
          <t>100% fórmulas · copie e envie em 1 minuto</t>
        </is>
      </c>
    </row>
    <row r="4"/>
    <row r="5">
      <c r="A5" s="4" t="inlineStr">
        <is>
          <t>VENDAS SEMANA</t>
        </is>
      </c>
      <c r="B5" s="5">
        <f>SUMIFS(DADOS!D:D,DADOS!C:C,"Vendas",DADOS!A:A,"&gt;="&amp;TODAY()-WEEKDAY(TODAY(),2)+1,DADOS!A:A,"&lt;="&amp;TODAY())</f>
        <v/>
      </c>
      <c r="C5" s="4" t="inlineStr">
        <is>
          <t>SEMANA ANTERIOR</t>
        </is>
      </c>
      <c r="D5" s="5">
        <f>SUMIFS(DADOS!D:D,DADOS!C:C,"Vendas",DADOS!A:A,"&gt;="&amp;TODAY()-WEEKDAY(TODAY(),2)+1-7,DADOS!A:A,"&lt;"&amp;TODAY()-WEEKDAY(TODAY(),2)+1)</f>
        <v/>
      </c>
      <c r="E5" s="4" t="inlineStr">
        <is>
          <t>VARIAÇÃO</t>
        </is>
      </c>
      <c r="F5" s="6">
        <f>IFERROR((B5-D5)/D5,0)</f>
        <v/>
      </c>
    </row>
    <row r="6"/>
    <row r="7">
      <c r="A7" s="4" t="inlineStr">
        <is>
          <t>ATENDIMENTOS</t>
        </is>
      </c>
      <c r="B7" s="7">
        <f>SUMIFS(DADOS!D:D,DADOS!C:C,"Atendimentos",DADOS!A:A,"&gt;="&amp;TODAY()-WEEKDAY(TODAY(),2)+1,DADOS!A:A,"&lt;="&amp;TODAY())</f>
        <v/>
      </c>
      <c r="C7" s="4" t="inlineStr">
        <is>
          <t>ENTREGAS</t>
        </is>
      </c>
      <c r="D7" s="7">
        <f>SUMIFS(DADOS!D:D,DADOS!C:C,"Entregas",DADOS!A:A,"&gt;="&amp;TODAY()-WEEKDAY(TODAY(),2)+1,DADOS!A:A,"&lt;="&amp;TODAY())</f>
        <v/>
      </c>
      <c r="E7" s="4" t="inlineStr">
        <is>
          <t>DESTAQUE</t>
        </is>
      </c>
      <c r="F7" s="7">
        <f>IFERROR(INDEX(DADOS!B:B,MATCH(MAXIFS(DADOS!D:D,DADOS!C:C,"Vendas",DADOS!A:A,"&gt;="&amp;TODAY()-WEEKDAY(TODAY(),2)+1,DADOS!A:A,"&lt;="&amp;TODAY()),DADOS!D:D,0)),"—")</f>
        <v/>
      </c>
    </row>
    <row r="8"/>
    <row r="9"/>
    <row r="10">
      <c r="A10" s="8" t="inlineStr">
        <is>
          <t>TEXTO PRONTO PARA COPIAR</t>
        </is>
      </c>
    </row>
    <row r="11">
      <c r="A11" s="9">
        <f>CONCATENATE("Semana fechou em R$ ",TEXT(B5,"#,##0.00")," (",TEXT(F5,"+0.0%;-0.0%")," vs semana anterior). Atendimentos: ",TEXT(B7,"0")," · Entregas: ",TEXT(D7,"0"),". Destaque: ",F7,".")</f>
        <v/>
      </c>
    </row>
    <row r="12"/>
    <row r="13"/>
    <row r="14"/>
    <row r="15">
      <c r="A15" s="10" t="inlineStr">
        <is>
          <t>COMPARATIVO RÁPIDO</t>
        </is>
      </c>
    </row>
    <row r="16" ht="22" customHeight="1">
      <c r="A16" s="11" t="inlineStr">
        <is>
          <t>Métrica</t>
        </is>
      </c>
      <c r="B16" s="11" t="inlineStr">
        <is>
          <t>Atual</t>
        </is>
      </c>
      <c r="C16" s="11" t="inlineStr">
        <is>
          <t>Anterior</t>
        </is>
      </c>
    </row>
    <row r="17">
      <c r="A17" s="12" t="inlineStr">
        <is>
          <t>Vendas</t>
        </is>
      </c>
      <c r="B17" s="13">
        <f>B5</f>
        <v/>
      </c>
      <c r="C17" s="13">
        <f>D5</f>
        <v/>
      </c>
    </row>
    <row r="18">
      <c r="A18" s="12" t="inlineStr">
        <is>
          <t>Atendimentos</t>
        </is>
      </c>
      <c r="B18" s="12">
        <f>B7</f>
        <v/>
      </c>
      <c r="C18" s="12">
        <f>SUMIFS(DADOS!D:D,DADOS!C:C,"Atendimentos",DADOS!A:A,"&gt;="&amp;TODAY()-WEEKDAY(TODAY(),2)+1-7,DADOS!A:A,"&lt;"&amp;TODAY()-WEEKDAY(TODAY(),2)+1)</f>
        <v/>
      </c>
    </row>
    <row r="19">
      <c r="A19" s="12" t="inlineStr">
        <is>
          <t>Entregas</t>
        </is>
      </c>
      <c r="B19" s="12">
        <f>D7</f>
        <v/>
      </c>
      <c r="C19" s="12">
        <f>SUMIFS(DADOS!D:D,DADOS!C:C,"Entregas",DADOS!A:A,"&gt;="&amp;TODAY()-WEEKDAY(TODAY(),2)+1-7,DADOS!A:A,"&lt;"&amp;TODAY()-WEEKDAY(TODAY(),2)+1)</f>
        <v/>
      </c>
    </row>
    <row r="20"/>
    <row r="21"/>
    <row r="22"/>
    <row r="23"/>
    <row r="24"/>
    <row r="25"/>
    <row r="26"/>
    <row r="27"/>
    <row r="28">
      <c r="A28" s="14" t="inlineStr">
        <is>
          <t>Ritual sexta 16h: abrir, conferir, copiar o texto, enviar. O relatório de 1 hora virou 1 minuto.</t>
        </is>
      </c>
    </row>
  </sheetData>
  <mergeCells count="4">
    <mergeCell ref="A3:F3"/>
    <mergeCell ref="A2:F2"/>
    <mergeCell ref="A1:F1"/>
    <mergeCell ref="A11:F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2" customWidth="1" min="4" max="4"/>
  </cols>
  <sheetData>
    <row r="1" ht="24" customHeight="1">
      <c r="A1" s="1" t="inlineStr">
        <is>
          <t>TRUST EXCEL  ·  TRUST CORPORATION</t>
        </is>
      </c>
    </row>
    <row r="2" ht="30" customHeight="1">
      <c r="A2" s="2" t="inlineStr">
        <is>
          <t>Dados do Dia a Dia</t>
        </is>
      </c>
    </row>
    <row r="3">
      <c r="A3" s="3" t="inlineStr">
        <is>
          <t>2 minutos por dia · o resumo se escreve sozinho</t>
        </is>
      </c>
    </row>
    <row r="4"/>
    <row r="5" ht="22" customHeight="1">
      <c r="A5" s="11" t="inlineStr">
        <is>
          <t>Data</t>
        </is>
      </c>
      <c r="B5" s="11" t="inlineStr">
        <is>
          <t>Categoria/Cliente</t>
        </is>
      </c>
      <c r="C5" s="11" t="inlineStr">
        <is>
          <t>Métrica</t>
        </is>
      </c>
      <c r="D5" s="11" t="inlineStr">
        <is>
          <t>Valor</t>
        </is>
      </c>
    </row>
    <row r="6">
      <c r="A6" s="15" t="n">
        <v>46205</v>
      </c>
      <c r="B6" s="12" t="inlineStr">
        <is>
          <t>Inbound</t>
        </is>
      </c>
      <c r="C6" s="12" t="inlineStr">
        <is>
          <t>Vendas</t>
        </is>
      </c>
      <c r="D6" s="13" t="n">
        <v>4605</v>
      </c>
    </row>
    <row r="7">
      <c r="A7" s="15" t="n">
        <v>46205</v>
      </c>
      <c r="B7" s="12" t="inlineStr">
        <is>
          <t>Operação interna</t>
        </is>
      </c>
      <c r="C7" s="12" t="inlineStr">
        <is>
          <t>Atendimentos</t>
        </is>
      </c>
      <c r="D7" s="12" t="n">
        <v>9</v>
      </c>
    </row>
    <row r="8">
      <c r="A8" s="15" t="n">
        <v>46205</v>
      </c>
      <c r="B8" s="12" t="inlineStr">
        <is>
          <t>Inbound</t>
        </is>
      </c>
      <c r="C8" s="12" t="inlineStr">
        <is>
          <t>Entregas</t>
        </is>
      </c>
      <c r="D8" s="12" t="n">
        <v>2</v>
      </c>
    </row>
    <row r="9">
      <c r="A9" s="15" t="n">
        <v>46206</v>
      </c>
      <c r="B9" s="12" t="inlineStr">
        <is>
          <t>Operação interna</t>
        </is>
      </c>
      <c r="C9" s="12" t="inlineStr">
        <is>
          <t>Vendas</t>
        </is>
      </c>
      <c r="D9" s="13" t="n">
        <v>3385</v>
      </c>
    </row>
    <row r="10">
      <c r="A10" s="15" t="n">
        <v>46206</v>
      </c>
      <c r="B10" s="12" t="inlineStr">
        <is>
          <t>Operação interna</t>
        </is>
      </c>
      <c r="C10" s="12" t="inlineStr">
        <is>
          <t>Atendimentos</t>
        </is>
      </c>
      <c r="D10" s="12" t="n">
        <v>15</v>
      </c>
    </row>
    <row r="11">
      <c r="A11" s="15" t="n">
        <v>46206</v>
      </c>
      <c r="B11" s="12" t="inlineStr">
        <is>
          <t>Cliente A</t>
        </is>
      </c>
      <c r="C11" s="12" t="inlineStr">
        <is>
          <t>Entregas</t>
        </is>
      </c>
      <c r="D11" s="12" t="n">
        <v>2</v>
      </c>
    </row>
    <row r="12">
      <c r="A12" s="15" t="n">
        <v>46209</v>
      </c>
      <c r="B12" s="12" t="inlineStr">
        <is>
          <t>Operação interna</t>
        </is>
      </c>
      <c r="C12" s="12" t="inlineStr">
        <is>
          <t>Vendas</t>
        </is>
      </c>
      <c r="D12" s="13" t="n">
        <v>1192</v>
      </c>
    </row>
    <row r="13">
      <c r="A13" s="15" t="n">
        <v>46209</v>
      </c>
      <c r="B13" s="12" t="inlineStr">
        <is>
          <t>Inbound</t>
        </is>
      </c>
      <c r="C13" s="12" t="inlineStr">
        <is>
          <t>Atendimentos</t>
        </is>
      </c>
      <c r="D13" s="12" t="n">
        <v>17</v>
      </c>
    </row>
    <row r="14">
      <c r="A14" s="15" t="n">
        <v>46209</v>
      </c>
      <c r="B14" s="12" t="inlineStr">
        <is>
          <t>Cliente C</t>
        </is>
      </c>
      <c r="C14" s="12" t="inlineStr">
        <is>
          <t>Entregas</t>
        </is>
      </c>
      <c r="D14" s="12" t="n">
        <v>4</v>
      </c>
    </row>
    <row r="15">
      <c r="A15" s="15" t="n">
        <v>46210</v>
      </c>
      <c r="B15" s="12" t="inlineStr">
        <is>
          <t>Inbound</t>
        </is>
      </c>
      <c r="C15" s="12" t="inlineStr">
        <is>
          <t>Vendas</t>
        </is>
      </c>
      <c r="D15" s="13" t="n">
        <v>4994</v>
      </c>
    </row>
    <row r="16">
      <c r="A16" s="15" t="n">
        <v>46210</v>
      </c>
      <c r="B16" s="12" t="inlineStr">
        <is>
          <t>Cliente C</t>
        </is>
      </c>
      <c r="C16" s="12" t="inlineStr">
        <is>
          <t>Atendimentos</t>
        </is>
      </c>
      <c r="D16" s="12" t="n">
        <v>16</v>
      </c>
    </row>
    <row r="17">
      <c r="A17" s="15" t="n">
        <v>46210</v>
      </c>
      <c r="B17" s="12" t="inlineStr">
        <is>
          <t>Cliente A</t>
        </is>
      </c>
      <c r="C17" s="12" t="inlineStr">
        <is>
          <t>Entregas</t>
        </is>
      </c>
      <c r="D17" s="12" t="n">
        <v>5</v>
      </c>
    </row>
    <row r="18">
      <c r="A18" s="15" t="n">
        <v>46211</v>
      </c>
      <c r="B18" s="12" t="inlineStr">
        <is>
          <t>Cliente A</t>
        </is>
      </c>
      <c r="C18" s="12" t="inlineStr">
        <is>
          <t>Vendas</t>
        </is>
      </c>
      <c r="D18" s="13" t="n">
        <v>1475</v>
      </c>
    </row>
    <row r="19">
      <c r="A19" s="15" t="n">
        <v>46211</v>
      </c>
      <c r="B19" s="12" t="inlineStr">
        <is>
          <t>Cliente A</t>
        </is>
      </c>
      <c r="C19" s="12" t="inlineStr">
        <is>
          <t>Atendimentos</t>
        </is>
      </c>
      <c r="D19" s="12" t="n">
        <v>15</v>
      </c>
    </row>
    <row r="20">
      <c r="A20" s="15" t="n">
        <v>46211</v>
      </c>
      <c r="B20" s="12" t="inlineStr">
        <is>
          <t>Cliente A</t>
        </is>
      </c>
      <c r="C20" s="12" t="inlineStr">
        <is>
          <t>Entregas</t>
        </is>
      </c>
      <c r="D20" s="12" t="n">
        <v>4</v>
      </c>
    </row>
    <row r="21">
      <c r="A21" s="15" t="n">
        <v>46212</v>
      </c>
      <c r="B21" s="12" t="inlineStr">
        <is>
          <t>Inbound</t>
        </is>
      </c>
      <c r="C21" s="12" t="inlineStr">
        <is>
          <t>Vendas</t>
        </is>
      </c>
      <c r="D21" s="13" t="n">
        <v>4750</v>
      </c>
    </row>
    <row r="22">
      <c r="A22" s="15" t="n">
        <v>46212</v>
      </c>
      <c r="B22" s="12" t="inlineStr">
        <is>
          <t>Cliente C</t>
        </is>
      </c>
      <c r="C22" s="12" t="inlineStr">
        <is>
          <t>Atendimentos</t>
        </is>
      </c>
      <c r="D22" s="12" t="n">
        <v>9</v>
      </c>
    </row>
    <row r="23">
      <c r="A23" s="15" t="n">
        <v>46212</v>
      </c>
      <c r="B23" s="12" t="inlineStr">
        <is>
          <t>Cliente A</t>
        </is>
      </c>
      <c r="C23" s="12" t="inlineStr">
        <is>
          <t>Entregas</t>
        </is>
      </c>
      <c r="D23" s="12" t="n">
        <v>6</v>
      </c>
    </row>
    <row r="24">
      <c r="A24" s="15" t="n">
        <v>46213</v>
      </c>
      <c r="B24" s="12" t="inlineStr">
        <is>
          <t>Cliente B</t>
        </is>
      </c>
      <c r="C24" s="12" t="inlineStr">
        <is>
          <t>Vendas</t>
        </is>
      </c>
      <c r="D24" s="13" t="n">
        <v>4259</v>
      </c>
    </row>
    <row r="25">
      <c r="A25" s="15" t="n">
        <v>46213</v>
      </c>
      <c r="B25" s="12" t="inlineStr">
        <is>
          <t>Inbound</t>
        </is>
      </c>
      <c r="C25" s="12" t="inlineStr">
        <is>
          <t>Atendimentos</t>
        </is>
      </c>
      <c r="D25" s="12" t="n">
        <v>3</v>
      </c>
    </row>
    <row r="26">
      <c r="A26" s="15" t="n">
        <v>46213</v>
      </c>
      <c r="B26" s="12" t="inlineStr">
        <is>
          <t>Inbound</t>
        </is>
      </c>
      <c r="C26" s="12" t="inlineStr">
        <is>
          <t>Entregas</t>
        </is>
      </c>
      <c r="D26" s="12" t="n">
        <v>4</v>
      </c>
    </row>
    <row r="27">
      <c r="A27" s="15" t="n">
        <v>46216</v>
      </c>
      <c r="B27" s="12" t="inlineStr">
        <is>
          <t>Inbound</t>
        </is>
      </c>
      <c r="C27" s="12" t="inlineStr">
        <is>
          <t>Vendas</t>
        </is>
      </c>
      <c r="D27" s="13" t="n">
        <v>5068</v>
      </c>
    </row>
    <row r="28">
      <c r="A28" s="15" t="n">
        <v>46216</v>
      </c>
      <c r="B28" s="12" t="inlineStr">
        <is>
          <t>Inbound</t>
        </is>
      </c>
      <c r="C28" s="12" t="inlineStr">
        <is>
          <t>Atendimentos</t>
        </is>
      </c>
      <c r="D28" s="12" t="n">
        <v>6</v>
      </c>
    </row>
    <row r="29">
      <c r="A29" s="15" t="n">
        <v>46216</v>
      </c>
      <c r="B29" s="12" t="inlineStr">
        <is>
          <t>Operação interna</t>
        </is>
      </c>
      <c r="C29" s="12" t="inlineStr">
        <is>
          <t>Entregas</t>
        </is>
      </c>
      <c r="D29" s="12" t="n">
        <v>5</v>
      </c>
    </row>
    <row r="30">
      <c r="A30" s="15" t="n">
        <v>46217</v>
      </c>
      <c r="B30" s="12" t="inlineStr">
        <is>
          <t>Cliente B</t>
        </is>
      </c>
      <c r="C30" s="12" t="inlineStr">
        <is>
          <t>Vendas</t>
        </is>
      </c>
      <c r="D30" s="13" t="n">
        <v>3391</v>
      </c>
    </row>
    <row r="31">
      <c r="A31" s="15" t="n">
        <v>46217</v>
      </c>
      <c r="B31" s="12" t="inlineStr">
        <is>
          <t>Cliente B</t>
        </is>
      </c>
      <c r="C31" s="12" t="inlineStr">
        <is>
          <t>Atendimentos</t>
        </is>
      </c>
      <c r="D31" s="12" t="n">
        <v>6</v>
      </c>
    </row>
    <row r="32">
      <c r="A32" s="15" t="n">
        <v>46217</v>
      </c>
      <c r="B32" s="12" t="inlineStr">
        <is>
          <t>Cliente A</t>
        </is>
      </c>
      <c r="C32" s="12" t="inlineStr">
        <is>
          <t>Entregas</t>
        </is>
      </c>
      <c r="D32" s="12" t="n">
        <v>5</v>
      </c>
    </row>
    <row r="33">
      <c r="A33" s="15" t="n">
        <v>46218</v>
      </c>
      <c r="B33" s="12" t="inlineStr">
        <is>
          <t>Cliente A</t>
        </is>
      </c>
      <c r="C33" s="12" t="inlineStr">
        <is>
          <t>Vendas</t>
        </is>
      </c>
      <c r="D33" s="13" t="n">
        <v>3594</v>
      </c>
    </row>
    <row r="34">
      <c r="A34" s="15" t="n">
        <v>46218</v>
      </c>
      <c r="B34" s="12" t="inlineStr">
        <is>
          <t>Operação interna</t>
        </is>
      </c>
      <c r="C34" s="12" t="inlineStr">
        <is>
          <t>Atendimentos</t>
        </is>
      </c>
      <c r="D34" s="12" t="n">
        <v>5</v>
      </c>
    </row>
    <row r="35">
      <c r="A35" s="15" t="n">
        <v>46218</v>
      </c>
      <c r="B35" s="12" t="inlineStr">
        <is>
          <t>Cliente C</t>
        </is>
      </c>
      <c r="C35" s="12" t="inlineStr">
        <is>
          <t>Entregas</t>
        </is>
      </c>
      <c r="D35" s="12" t="n">
        <v>6</v>
      </c>
    </row>
    <row r="36">
      <c r="A36" s="15" t="n">
        <v>46219</v>
      </c>
      <c r="B36" s="12" t="inlineStr">
        <is>
          <t>Operação interna</t>
        </is>
      </c>
      <c r="C36" s="12" t="inlineStr">
        <is>
          <t>Vendas</t>
        </is>
      </c>
      <c r="D36" s="13" t="n">
        <v>4612</v>
      </c>
    </row>
    <row r="37">
      <c r="A37" s="15" t="n">
        <v>46219</v>
      </c>
      <c r="B37" s="12" t="inlineStr">
        <is>
          <t>Cliente B</t>
        </is>
      </c>
      <c r="C37" s="12" t="inlineStr">
        <is>
          <t>Atendimentos</t>
        </is>
      </c>
      <c r="D37" s="12" t="n">
        <v>15</v>
      </c>
    </row>
    <row r="38">
      <c r="A38" s="15" t="n">
        <v>46219</v>
      </c>
      <c r="B38" s="12" t="inlineStr">
        <is>
          <t>Cliente B</t>
        </is>
      </c>
      <c r="C38" s="12" t="inlineStr">
        <is>
          <t>Entregas</t>
        </is>
      </c>
      <c r="D38" s="12" t="n">
        <v>4</v>
      </c>
    </row>
    <row r="39">
      <c r="A39" s="15" t="n">
        <v>46220</v>
      </c>
      <c r="B39" s="12" t="inlineStr">
        <is>
          <t>Inbound</t>
        </is>
      </c>
      <c r="C39" s="12" t="inlineStr">
        <is>
          <t>Vendas</t>
        </is>
      </c>
      <c r="D39" s="13" t="n">
        <v>2198</v>
      </c>
    </row>
    <row r="40">
      <c r="A40" s="15" t="n">
        <v>46220</v>
      </c>
      <c r="B40" s="12" t="inlineStr">
        <is>
          <t>Cliente A</t>
        </is>
      </c>
      <c r="C40" s="12" t="inlineStr">
        <is>
          <t>Atendimentos</t>
        </is>
      </c>
      <c r="D40" s="12" t="n">
        <v>5</v>
      </c>
    </row>
    <row r="41">
      <c r="A41" s="15" t="n">
        <v>46220</v>
      </c>
      <c r="B41" s="12" t="inlineStr">
        <is>
          <t>Operação interna</t>
        </is>
      </c>
      <c r="C41" s="12" t="inlineStr">
        <is>
          <t>Entregas</t>
        </is>
      </c>
      <c r="D41" s="12" t="n">
        <v>1</v>
      </c>
    </row>
    <row r="42">
      <c r="A42" s="15" t="n">
        <v>46223</v>
      </c>
      <c r="B42" s="12" t="inlineStr">
        <is>
          <t>Cliente C</t>
        </is>
      </c>
      <c r="C42" s="12" t="inlineStr">
        <is>
          <t>Vendas</t>
        </is>
      </c>
      <c r="D42" s="13" t="n">
        <v>2990</v>
      </c>
    </row>
    <row r="43">
      <c r="A43" s="15" t="n">
        <v>46223</v>
      </c>
      <c r="B43" s="12" t="inlineStr">
        <is>
          <t>Operação interna</t>
        </is>
      </c>
      <c r="C43" s="12" t="inlineStr">
        <is>
          <t>Atendimentos</t>
        </is>
      </c>
      <c r="D43" s="12" t="n">
        <v>18</v>
      </c>
    </row>
    <row r="44">
      <c r="A44" s="15" t="n">
        <v>46223</v>
      </c>
      <c r="B44" s="12" t="inlineStr">
        <is>
          <t>Cliente B</t>
        </is>
      </c>
      <c r="C44" s="12" t="inlineStr">
        <is>
          <t>Entregas</t>
        </is>
      </c>
      <c r="D44" s="12" t="n">
        <v>3</v>
      </c>
    </row>
    <row r="45">
      <c r="A45" s="15" t="n">
        <v>46224</v>
      </c>
      <c r="B45" s="12" t="inlineStr">
        <is>
          <t>Cliente C</t>
        </is>
      </c>
      <c r="C45" s="12" t="inlineStr">
        <is>
          <t>Vendas</t>
        </is>
      </c>
      <c r="D45" s="13" t="n">
        <v>4826</v>
      </c>
    </row>
    <row r="46">
      <c r="A46" s="15" t="n">
        <v>46224</v>
      </c>
      <c r="B46" s="12" t="inlineStr">
        <is>
          <t>Cliente A</t>
        </is>
      </c>
      <c r="C46" s="12" t="inlineStr">
        <is>
          <t>Atendimentos</t>
        </is>
      </c>
      <c r="D46" s="12" t="n">
        <v>9</v>
      </c>
    </row>
    <row r="47">
      <c r="A47" s="15" t="n">
        <v>46224</v>
      </c>
      <c r="B47" s="12" t="inlineStr">
        <is>
          <t>Cliente B</t>
        </is>
      </c>
      <c r="C47" s="12" t="inlineStr">
        <is>
          <t>Entregas</t>
        </is>
      </c>
      <c r="D47" s="12" t="n">
        <v>8</v>
      </c>
    </row>
    <row r="48">
      <c r="A48" s="15" t="n">
        <v>46225</v>
      </c>
      <c r="B48" s="12" t="inlineStr">
        <is>
          <t>Cliente C</t>
        </is>
      </c>
      <c r="C48" s="12" t="inlineStr">
        <is>
          <t>Vendas</t>
        </is>
      </c>
      <c r="D48" s="13" t="n">
        <v>1395</v>
      </c>
    </row>
    <row r="49">
      <c r="A49" s="15" t="n">
        <v>46225</v>
      </c>
      <c r="B49" s="12" t="inlineStr">
        <is>
          <t>Cliente A</t>
        </is>
      </c>
      <c r="C49" s="12" t="inlineStr">
        <is>
          <t>Atendimentos</t>
        </is>
      </c>
      <c r="D49" s="12" t="n">
        <v>19</v>
      </c>
    </row>
    <row r="50">
      <c r="A50" s="15" t="n">
        <v>46225</v>
      </c>
      <c r="B50" s="12" t="inlineStr">
        <is>
          <t>Cliente C</t>
        </is>
      </c>
      <c r="C50" s="12" t="inlineStr">
        <is>
          <t>Entregas</t>
        </is>
      </c>
      <c r="D50" s="12" t="n">
        <v>8</v>
      </c>
    </row>
    <row r="51">
      <c r="A51" s="15" t="n"/>
      <c r="B51" s="12" t="n"/>
      <c r="C51" s="12" t="n"/>
      <c r="D51" s="13" t="n"/>
    </row>
    <row r="52">
      <c r="A52" s="15" t="n"/>
      <c r="B52" s="12" t="n"/>
      <c r="C52" s="12" t="n"/>
      <c r="D52" s="13" t="n"/>
    </row>
    <row r="53">
      <c r="A53" s="15" t="n"/>
      <c r="B53" s="12" t="n"/>
      <c r="C53" s="12" t="n"/>
      <c r="D53" s="13" t="n"/>
    </row>
    <row r="54">
      <c r="A54" s="15" t="n"/>
      <c r="B54" s="12" t="n"/>
      <c r="C54" s="12" t="n"/>
      <c r="D54" s="13" t="n"/>
    </row>
    <row r="55">
      <c r="A55" s="15" t="n"/>
      <c r="B55" s="12" t="n"/>
      <c r="C55" s="12" t="n"/>
      <c r="D55" s="13" t="n"/>
    </row>
    <row r="56">
      <c r="A56" s="15" t="n"/>
      <c r="B56" s="12" t="n"/>
      <c r="C56" s="12" t="n"/>
      <c r="D56" s="13" t="n"/>
    </row>
    <row r="57">
      <c r="A57" s="15" t="n"/>
      <c r="B57" s="12" t="n"/>
      <c r="C57" s="12" t="n"/>
      <c r="D57" s="13" t="n"/>
    </row>
    <row r="58">
      <c r="A58" s="15" t="n"/>
      <c r="B58" s="12" t="n"/>
      <c r="C58" s="12" t="n"/>
      <c r="D58" s="13" t="n"/>
    </row>
    <row r="59">
      <c r="A59" s="15" t="n"/>
      <c r="B59" s="12" t="n"/>
      <c r="C59" s="12" t="n"/>
      <c r="D59" s="13" t="n"/>
    </row>
    <row r="60">
      <c r="A60" s="15" t="n"/>
      <c r="B60" s="12" t="n"/>
      <c r="C60" s="12" t="n"/>
      <c r="D60" s="13" t="n"/>
    </row>
    <row r="61">
      <c r="A61" s="15" t="n"/>
      <c r="B61" s="12" t="n"/>
      <c r="C61" s="12" t="n"/>
      <c r="D61" s="13" t="n"/>
    </row>
    <row r="62">
      <c r="A62" s="15" t="n"/>
      <c r="B62" s="12" t="n"/>
      <c r="C62" s="12" t="n"/>
      <c r="D62" s="13" t="n"/>
    </row>
    <row r="63">
      <c r="A63" s="15" t="n"/>
      <c r="B63" s="12" t="n"/>
      <c r="C63" s="12" t="n"/>
      <c r="D63" s="13" t="n"/>
    </row>
    <row r="64">
      <c r="A64" s="15" t="n"/>
      <c r="B64" s="12" t="n"/>
      <c r="C64" s="12" t="n"/>
      <c r="D64" s="13" t="n"/>
    </row>
    <row r="65">
      <c r="A65" s="15" t="n"/>
      <c r="B65" s="12" t="n"/>
      <c r="C65" s="12" t="n"/>
      <c r="D65" s="13" t="n"/>
    </row>
    <row r="66">
      <c r="A66" s="15" t="n"/>
      <c r="B66" s="12" t="n"/>
      <c r="C66" s="12" t="n"/>
      <c r="D66" s="13" t="n"/>
    </row>
    <row r="67">
      <c r="A67" s="15" t="n"/>
      <c r="B67" s="12" t="n"/>
      <c r="C67" s="12" t="n"/>
      <c r="D67" s="13" t="n"/>
    </row>
    <row r="68">
      <c r="A68" s="15" t="n"/>
      <c r="B68" s="12" t="n"/>
      <c r="C68" s="12" t="n"/>
      <c r="D68" s="13" t="n"/>
    </row>
    <row r="69">
      <c r="A69" s="15" t="n"/>
      <c r="B69" s="12" t="n"/>
      <c r="C69" s="12" t="n"/>
      <c r="D69" s="13" t="n"/>
    </row>
    <row r="70">
      <c r="A70" s="15" t="n"/>
      <c r="B70" s="12" t="n"/>
      <c r="C70" s="12" t="n"/>
      <c r="D70" s="13" t="n"/>
    </row>
    <row r="71">
      <c r="A71" s="15" t="n"/>
      <c r="B71" s="12" t="n"/>
      <c r="C71" s="12" t="n"/>
      <c r="D71" s="13" t="n"/>
    </row>
    <row r="72">
      <c r="A72" s="15" t="n"/>
      <c r="B72" s="12" t="n"/>
      <c r="C72" s="12" t="n"/>
      <c r="D72" s="13" t="n"/>
    </row>
    <row r="73">
      <c r="A73" s="15" t="n"/>
      <c r="B73" s="12" t="n"/>
      <c r="C73" s="12" t="n"/>
      <c r="D73" s="13" t="n"/>
    </row>
    <row r="74">
      <c r="A74" s="15" t="n"/>
      <c r="B74" s="12" t="n"/>
      <c r="C74" s="12" t="n"/>
      <c r="D74" s="13" t="n"/>
    </row>
    <row r="75">
      <c r="A75" s="15" t="n"/>
      <c r="B75" s="12" t="n"/>
      <c r="C75" s="12" t="n"/>
      <c r="D75" s="13" t="n"/>
    </row>
    <row r="76">
      <c r="A76" s="15" t="n"/>
      <c r="B76" s="12" t="n"/>
      <c r="C76" s="12" t="n"/>
      <c r="D76" s="13" t="n"/>
    </row>
    <row r="77">
      <c r="A77" s="15" t="n"/>
      <c r="B77" s="12" t="n"/>
      <c r="C77" s="12" t="n"/>
      <c r="D77" s="13" t="n"/>
    </row>
    <row r="78">
      <c r="A78" s="15" t="n"/>
      <c r="B78" s="12" t="n"/>
      <c r="C78" s="12" t="n"/>
      <c r="D78" s="13" t="n"/>
    </row>
    <row r="79">
      <c r="A79" s="15" t="n"/>
      <c r="B79" s="12" t="n"/>
      <c r="C79" s="12" t="n"/>
      <c r="D79" s="13" t="n"/>
    </row>
    <row r="80">
      <c r="A80" s="15" t="n"/>
      <c r="B80" s="12" t="n"/>
      <c r="C80" s="12" t="n"/>
      <c r="D80" s="13" t="n"/>
    </row>
  </sheetData>
  <mergeCells count="3">
    <mergeCell ref="A1:D1"/>
    <mergeCell ref="A3:D3"/>
    <mergeCell ref="A2:D2"/>
  </mergeCells>
  <dataValidations count="1">
    <dataValidation sqref="C6:C500" showDropDown="0" showInputMessage="0" showErrorMessage="0" allowBlank="1" type="list">
      <formula1>"Vendas,Atendimentos,Entregas"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2026-07-22T15:59:59Z</dcterms:created>
  <dcterms:modified xmlns:dcterms="http://purl.org/dc/terms/" xmlns:xsi="http://www.w3.org/2001/XMLSchema-instance" xsi:type="dcterms:W3CDTF">2026-07-22T15:59:59Z</dcterms:modified>
</cp:coreProperties>
</file>