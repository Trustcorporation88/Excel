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KRS" sheetId="2" state="visible" r:id="rId2"/>
    <sheet xmlns:r="http://schemas.openxmlformats.org/officeDocument/2006/relationships" name="HABITOS" sheetId="3" state="visible" r:id="rId3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#,##0;(#,##0);&quot;—&quot;"/>
    <numFmt numFmtId="168" formatCode="#,##0.0;(#,##0.0);&quot;—&quot;"/>
  </numFmts>
  <fonts count="19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F3ECDD"/>
      <sz val="8"/>
    </font>
    <font>
      <name val="Calibri"/>
      <color rgb="00F3ECDD"/>
      <sz val="9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i val="1"/>
      <color rgb="008A9691"/>
      <sz val="7"/>
    </font>
    <font>
      <name val="Calibri"/>
      <b val="1"/>
      <color rgb="0043D07F"/>
      <sz val="18"/>
    </font>
    <font>
      <name val="Calibri"/>
      <b val="1"/>
      <color rgb="00D9534F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color rgb="00F3ECDD"/>
      <sz val="8"/>
    </font>
    <font>
      <name val="Calibri"/>
      <color rgb="008A9691"/>
      <sz val="8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0" fontId="0" fillId="4" borderId="2" pivotButton="0" quotePrefix="0" xfId="0"/>
    <xf numFmtId="9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1" fontId="9" fillId="5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9" fontId="9" fillId="5" borderId="1" applyAlignment="1" pivotButton="0" quotePrefix="0" xfId="0">
      <alignment horizontal="center" vertical="center"/>
    </xf>
    <xf numFmtId="1" fontId="7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11" fillId="4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13" fillId="2" borderId="1" pivotButton="0" quotePrefix="0" xfId="0"/>
    <xf numFmtId="167" fontId="14" fillId="2" borderId="1" pivotButton="0" quotePrefix="0" xfId="0"/>
    <xf numFmtId="167" fontId="1" fillId="2" borderId="1" pivotButton="0" quotePrefix="0" xfId="0"/>
    <xf numFmtId="168" fontId="12" fillId="2" borderId="1" pivotButton="0" quotePrefix="0" xfId="0"/>
    <xf numFmtId="1" fontId="15" fillId="2" borderId="1" pivotButton="0" quotePrefix="0" xfId="0"/>
    <xf numFmtId="168" fontId="17" fillId="2" borderId="1" pivotButton="0" quotePrefix="0" xfId="0"/>
    <xf numFmtId="0" fontId="18" fillId="2" borderId="1" applyAlignment="1" pivotButton="0" quotePrefix="0" xfId="0">
      <alignment horizontal="center" vertical="center"/>
    </xf>
    <xf numFmtId="0" fontId="15" fillId="2" borderId="1" pivotButton="0" quotePrefix="0" xfId="0"/>
    <xf numFmtId="0" fontId="18" fillId="2" borderId="1" pivotButton="0" quotePrefix="0" xfId="0"/>
    <xf numFmtId="0" fontId="5" fillId="2" borderId="1" pivotButton="0" quotePrefix="0" xfId="0"/>
    <xf numFmtId="9" fontId="5" fillId="2" borderId="1" pivotButton="0" quotePrefix="0" xfId="0"/>
    <xf numFmtId="165" fontId="5" fillId="2" borderId="1" pivotButton="0" quotePrefix="0" xfId="0"/>
    <xf numFmtId="166" fontId="5" fillId="2" borderId="1" pivotButton="0" quotePrefix="0" xfId="0"/>
    <xf numFmtId="0" fontId="5" fillId="2" borderId="0" pivotButton="0" quotePrefix="0" xfId="0"/>
  </cellXfs>
  <cellStyles count="1">
    <cellStyle name="Normal" xfId="0" builtinId="0" hidden="0"/>
  </cellStyles>
  <dxfs count="2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'DASHBOARD'!$D$13:$D$15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'DASHBOARD'!$E$13:$E$15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'OKRS'!E5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'OKRS'!$A$6:$A$9</f>
            </numRef>
          </cat>
          <val>
            <numRef>
              <f>'OKRS'!$E$6:$E$9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'DASHBOARD'!$H$27:$H$30</f>
            </numRef>
          </cat>
          <val>
            <numRef>
              <f>'DASHBOARD'!$I$27:$I$30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2880000" cy="187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Painel OKR &amp; Hábitos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Atingimento por ritmo · burndown · consistência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PROGRESSO MÉDIO</t>
        </is>
      </c>
      <c r="C5" s="6" t="n"/>
      <c r="D5" s="5" t="inlineStr">
        <is>
          <t>OKRS NO RITMO</t>
        </is>
      </c>
      <c r="E5" s="6" t="n"/>
      <c r="F5" s="5" t="inlineStr">
        <is>
          <t>OKRS EM RISCO</t>
        </is>
      </c>
      <c r="G5" s="6" t="n"/>
      <c r="H5" s="5" t="inlineStr">
        <is>
          <t>CONSISTÊNCIA HÁB.</t>
        </is>
      </c>
      <c r="I5" s="6" t="n"/>
      <c r="J5" s="5" t="inlineStr">
        <is>
          <t>OBJETIVOS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Z43</f>
        <v/>
      </c>
      <c r="I6" s="8" t="n"/>
      <c r="J6" s="12">
        <f>Z44</f>
        <v/>
      </c>
      <c r="K6" s="8" t="n"/>
      <c r="L6" s="2" t="n"/>
      <c r="M6" s="2" t="n"/>
      <c r="N6" s="2" t="n"/>
    </row>
    <row r="7" ht="12" customHeight="1">
      <c r="A7" s="2" t="n"/>
      <c r="B7" s="13" t="inlineStr"/>
      <c r="C7" s="14" t="n"/>
      <c r="D7" s="13" t="inlineStr"/>
      <c r="E7" s="14" t="n"/>
      <c r="F7" s="13" t="inlineStr"/>
      <c r="G7" s="14" t="n"/>
      <c r="H7" s="13" t="inlineStr"/>
      <c r="I7" s="14" t="n"/>
      <c r="J7" s="13" t="inlineStr"/>
      <c r="K7" s="14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5">
        <f>IF(Z40&gt;0.8,"🟢 Ótimo progresso geral.","🟡 Foco nas pendências para bater as metas.")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6" t="inlineStr">
        <is>
          <t>GAP DOS OKRs (Soma)</t>
        </is>
      </c>
      <c r="C11" s="2" t="n"/>
      <c r="D11" s="2" t="n"/>
      <c r="E11" s="2" t="n"/>
      <c r="F11" s="16" t="inlineStr">
        <is>
          <t>PROGRESSO INDIVIDUAL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18" customHeight="1">
      <c r="A12" s="2" t="n"/>
      <c r="B12" s="17" t="inlineStr">
        <is>
          <t>Etapa</t>
        </is>
      </c>
      <c r="C12" s="17" t="inlineStr">
        <is>
          <t>Base</t>
        </is>
      </c>
      <c r="D12" s="17" t="inlineStr">
        <is>
          <t>Alta</t>
        </is>
      </c>
      <c r="E12" s="17" t="inlineStr">
        <is>
          <t>Baixa</t>
        </is>
      </c>
      <c r="F12" s="17" t="inlineStr">
        <is>
          <t>Total</t>
        </is>
      </c>
      <c r="G12" s="17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18" t="inlineStr">
        <is>
          <t>Meta total</t>
        </is>
      </c>
      <c r="C13" s="19" t="n">
        <v>0</v>
      </c>
      <c r="D13" s="19">
        <f>IF(G13&gt;=0,G13,0)</f>
        <v/>
      </c>
      <c r="E13" s="19">
        <f>IF(G13&lt;0,-G13,0)</f>
        <v/>
      </c>
      <c r="F13" s="19">
        <f>G13</f>
        <v/>
      </c>
      <c r="G13" s="20">
        <f>SUM(OKRS!C6:C9)</f>
        <v/>
      </c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18" t="inlineStr">
        <is>
          <t>− Já feito</t>
        </is>
      </c>
      <c r="C14" s="19">
        <f>IF(G14&gt;=0,F13,F13+G14)</f>
        <v/>
      </c>
      <c r="D14" s="19">
        <f>IF(G14&gt;=0,G14,0)</f>
        <v/>
      </c>
      <c r="E14" s="19">
        <f>IF(G14&lt;0,-G14,0)</f>
        <v/>
      </c>
      <c r="F14" s="19">
        <f>F13+G14</f>
        <v/>
      </c>
      <c r="G14" s="20">
        <f>-SUM(OKRS!D6:D9)</f>
        <v/>
      </c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18" t="inlineStr">
        <is>
          <t>Gap</t>
        </is>
      </c>
      <c r="C15" s="19" t="n">
        <v>0</v>
      </c>
      <c r="D15" s="19">
        <f>IF(G15&gt;=0,G15,0)</f>
        <v/>
      </c>
      <c r="E15" s="19">
        <f>IF(G15&lt;0,-G15,0)</f>
        <v/>
      </c>
      <c r="F15" s="19">
        <f>G15</f>
        <v/>
      </c>
      <c r="G15" s="20">
        <f>SUM(OKRS!C6:C9)-SUM(OKRS!D6:D9)</f>
        <v/>
      </c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6" t="inlineStr">
        <is>
          <t>MINI-SPARKLINES</t>
        </is>
      </c>
      <c r="C25" s="2" t="n"/>
      <c r="D25" s="2" t="n"/>
      <c r="E25" s="2" t="n"/>
      <c r="F25" s="2" t="n"/>
      <c r="G25" s="2" t="n"/>
      <c r="H25" s="16" t="inlineStr">
        <is>
          <t>SPARK POR OKR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7" t="inlineStr">
        <is>
          <t>Indicador</t>
        </is>
      </c>
      <c r="C26" s="17" t="inlineStr">
        <is>
          <t>Atual</t>
        </is>
      </c>
      <c r="D26" s="17" t="inlineStr">
        <is>
          <t>S1</t>
        </is>
      </c>
      <c r="E26" s="17" t="inlineStr">
        <is>
          <t>S2</t>
        </is>
      </c>
      <c r="F26" s="17" t="inlineStr">
        <is>
          <t>S3</t>
        </is>
      </c>
      <c r="G26" s="17" t="inlineStr">
        <is>
          <t>S4</t>
        </is>
      </c>
      <c r="H26" s="17" t="inlineStr">
        <is>
          <t>Ponto</t>
        </is>
      </c>
      <c r="I26" s="17" t="inlineStr">
        <is>
          <t>Valor</t>
        </is>
      </c>
      <c r="J26" s="17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8" t="inlineStr">
        <is>
          <t>Progresso %</t>
        </is>
      </c>
      <c r="C27" s="21">
        <f>$Z$40*100</f>
        <v/>
      </c>
      <c r="D27" s="22" t="n">
        <v>20</v>
      </c>
      <c r="E27" s="22" t="n">
        <v>28</v>
      </c>
      <c r="F27" s="22" t="n">
        <v>35</v>
      </c>
      <c r="G27" s="22" t="n">
        <v>42</v>
      </c>
      <c r="H27" s="22" t="inlineStr">
        <is>
          <t>OKR1</t>
        </is>
      </c>
      <c r="I27" s="23">
        <f>OKRS!E6*100</f>
        <v/>
      </c>
      <c r="J27" s="24">
        <f>IF(OR(I27="",NOT(ISNUMBER(I27))),"",REPT("▬",MAX(1,ROUND((I27-(MIN(I27:I30)))/MAX(1E-9,(MAX(I27:I30))-(MIN(I27:I30)))*10,0))))</f>
        <v/>
      </c>
      <c r="K27" s="2" t="n"/>
      <c r="L27" s="2" t="n"/>
      <c r="M27" s="2" t="n"/>
      <c r="N27" s="2" t="n"/>
    </row>
    <row r="28">
      <c r="A28" s="2" t="n"/>
      <c r="B28" s="18" t="inlineStr">
        <is>
          <t>No ritmo</t>
        </is>
      </c>
      <c r="C28" s="21">
        <f>$Z$41</f>
        <v/>
      </c>
      <c r="D28" s="22" t="n">
        <v>1</v>
      </c>
      <c r="E28" s="22" t="n">
        <v>2</v>
      </c>
      <c r="F28" s="22" t="n">
        <v>3</v>
      </c>
      <c r="G28" s="22" t="n">
        <v>4</v>
      </c>
      <c r="H28" s="22" t="inlineStr">
        <is>
          <t>OKR2</t>
        </is>
      </c>
      <c r="I28" s="23">
        <f>OKRS!E7*100</f>
        <v/>
      </c>
      <c r="J28" s="24">
        <f>IF(OR(I28="",NOT(ISNUMBER(I28))),"",REPT("▬",MAX(1,ROUND((I28-(MIN(I27:I30)))/MAX(1E-9,(MAX(I27:I30))-(MIN(I27:I30)))*10,0))))</f>
        <v/>
      </c>
      <c r="K28" s="2" t="n"/>
      <c r="L28" s="2" t="n"/>
      <c r="M28" s="2" t="n"/>
      <c r="N28" s="2" t="n"/>
    </row>
    <row r="29">
      <c r="A29" s="2" t="n"/>
      <c r="B29" s="18" t="inlineStr">
        <is>
          <t>Hábitos %</t>
        </is>
      </c>
      <c r="C29" s="21">
        <f>$Z$43*100</f>
        <v/>
      </c>
      <c r="D29" s="22" t="n">
        <v>40</v>
      </c>
      <c r="E29" s="22" t="n">
        <v>48</v>
      </c>
      <c r="F29" s="22" t="n">
        <v>55</v>
      </c>
      <c r="G29" s="22" t="n">
        <v>60</v>
      </c>
      <c r="H29" s="22" t="inlineStr">
        <is>
          <t>OKR3</t>
        </is>
      </c>
      <c r="I29" s="23">
        <f>OKRS!E8*100</f>
        <v/>
      </c>
      <c r="J29" s="24">
        <f>IF(OR(I29="",NOT(ISNUMBER(I29))),"",REPT("▬",MAX(1,ROUND((I29-(MIN(I27:I30)))/MAX(1E-9,(MAX(I27:I30))-(MIN(I27:I30)))*10,0))))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5" t="inlineStr">
        <is>
          <t>OKR4</t>
        </is>
      </c>
      <c r="I30" s="23">
        <f>OKRS!E9*100</f>
        <v/>
      </c>
      <c r="J30" s="26">
        <f>IF(OR(I30="",NOT(ISNUMBER(I30))),"",REPT("▬",MAX(1,ROUND((I30-(MIN(I27:I30)))/MAX(1E-9,(MAX(I27:I30))-(MIN(I27:I30)))*10,0))))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AVERAGE(OKRS!E6:E9)</f>
        <v/>
      </c>
    </row>
    <row r="41">
      <c r="Z41">
        <f>COUNTIF(OKRS!H6:H9,"🟢 no ritmo")</f>
        <v/>
      </c>
    </row>
    <row r="42">
      <c r="Z42">
        <f>COUNTIF(OKRS!H6:H9,"🔴 fora do ritmo")</f>
        <v/>
      </c>
    </row>
    <row r="43">
      <c r="Z43">
        <f>AVERAGE(HABITOS!I6:I8)</f>
        <v/>
      </c>
    </row>
    <row r="44">
      <c r="Z44">
        <f>COUNTA(OKRS!A6:A9)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2" customWidth="1" min="5" max="5"/>
    <col width="13" customWidth="1" min="6" max="6"/>
    <col width="12" customWidth="1" min="7" max="7"/>
    <col width="16" customWidth="1" min="8" max="8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8" customHeight="1">
      <c r="A2" s="3" t="inlineStr">
        <is>
          <t>OKRs e Hábitos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4" customHeight="1">
      <c r="A3" s="4" t="inlineStr">
        <is>
          <t>Acompanhamento por ritmo e consistência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18" customHeight="1">
      <c r="A5" s="17" t="inlineStr">
        <is>
          <t>Objetivo / KR</t>
        </is>
      </c>
      <c r="B5" s="17" t="inlineStr">
        <is>
          <t>Baseline</t>
        </is>
      </c>
      <c r="C5" s="17" t="inlineStr">
        <is>
          <t>Meta</t>
        </is>
      </c>
      <c r="D5" s="17" t="inlineStr">
        <is>
          <t>Atual</t>
        </is>
      </c>
      <c r="E5" s="17" t="inlineStr">
        <is>
          <t>% Progr.</t>
        </is>
      </c>
      <c r="F5" s="17" t="inlineStr">
        <is>
          <t>Prazo</t>
        </is>
      </c>
      <c r="G5" s="17" t="inlineStr">
        <is>
          <t>Ritmo/dia</t>
        </is>
      </c>
      <c r="H5" s="17" t="inlineStr">
        <is>
          <t>Previsão</t>
        </is>
      </c>
      <c r="I5" s="2" t="n"/>
      <c r="J5" s="2" t="n"/>
    </row>
    <row r="6">
      <c r="A6" s="27" t="inlineStr">
        <is>
          <t>Faturar R$ 40k/mês</t>
        </is>
      </c>
      <c r="B6" s="27" t="n">
        <v>12000</v>
      </c>
      <c r="C6" s="27" t="n">
        <v>40000</v>
      </c>
      <c r="D6" s="27" t="n">
        <v>26500</v>
      </c>
      <c r="E6" s="28">
        <f>IFERROR((D6-B6)/(C6-B6),0)</f>
        <v/>
      </c>
      <c r="F6" s="29" t="n">
        <v>46375</v>
      </c>
      <c r="G6" s="30">
        <f>IFERROR((D6-B6)/40,0)</f>
        <v/>
      </c>
      <c r="H6" s="27">
        <f>IF((D6+G6*(F6-TODAY()))&gt;=C6,"🟢 no ritmo",IF((D6+G6*(F6-TODAY()))&gt;=C6*0.8,"🟡 risco","🔴 fora do ritmo"))</f>
        <v/>
      </c>
      <c r="I6" s="2" t="n"/>
      <c r="J6" s="2" t="n"/>
    </row>
    <row r="7">
      <c r="A7" s="27" t="inlineStr">
        <is>
          <t>Reserva emergência</t>
        </is>
      </c>
      <c r="B7" s="27" t="n">
        <v>0</v>
      </c>
      <c r="C7" s="27" t="n">
        <v>30000</v>
      </c>
      <c r="D7" s="27" t="n">
        <v>14500</v>
      </c>
      <c r="E7" s="28">
        <f>IFERROR((D7-B7)/(C7-B7),0)</f>
        <v/>
      </c>
      <c r="F7" s="29" t="n">
        <v>46345</v>
      </c>
      <c r="G7" s="30">
        <f>IFERROR((D7-B7)/40,0)</f>
        <v/>
      </c>
      <c r="H7" s="27">
        <f>IF((D7+G7*(F7-TODAY()))&gt;=C7,"🟢 no ritmo",IF((D7+G7*(F7-TODAY()))&gt;=C7*0.8,"🟡 risco","🔴 fora do ritmo"))</f>
        <v/>
      </c>
      <c r="I7" s="2" t="n"/>
      <c r="J7" s="2" t="n"/>
    </row>
    <row r="8">
      <c r="A8" s="27" t="inlineStr">
        <is>
          <t>Reduzir custo fixo</t>
        </is>
      </c>
      <c r="B8" s="27" t="n">
        <v>8000</v>
      </c>
      <c r="C8" s="27" t="n">
        <v>5000</v>
      </c>
      <c r="D8" s="27" t="n">
        <v>6800</v>
      </c>
      <c r="E8" s="28">
        <f>IFERROR((D8-B8)/(C8-B8),0)</f>
        <v/>
      </c>
      <c r="F8" s="29" t="n">
        <v>46315</v>
      </c>
      <c r="G8" s="30">
        <f>IFERROR((D8-B8)/40,0)</f>
        <v/>
      </c>
      <c r="H8" s="27">
        <f>IF((D8+G8*(F8-TODAY()))&gt;=C8,"🟢 no ritmo",IF((D8+G8*(F8-TODAY()))&gt;=C8*0.8,"🟡 risco","🔴 fora do ritmo"))</f>
        <v/>
      </c>
      <c r="I8" s="2" t="n"/>
      <c r="J8" s="2" t="n"/>
    </row>
    <row r="9">
      <c r="A9" s="27" t="inlineStr">
        <is>
          <t>Fechar 12 contratos</t>
        </is>
      </c>
      <c r="B9" s="27" t="n">
        <v>0</v>
      </c>
      <c r="C9" s="27" t="n">
        <v>12</v>
      </c>
      <c r="D9" s="27" t="n">
        <v>7</v>
      </c>
      <c r="E9" s="28">
        <f>IFERROR((D9-B9)/(C9-B9),0)</f>
        <v/>
      </c>
      <c r="F9" s="29" t="n">
        <v>46385</v>
      </c>
      <c r="G9" s="30">
        <f>IFERROR((D9-B9)/40,0)</f>
        <v/>
      </c>
      <c r="H9" s="27">
        <f>IF((D9+G9*(F9-TODAY()))&gt;=C9,"🟢 no ritmo",IF((D9+G9*(F9-TODAY()))&gt;=C9*0.8,"🟡 risco","🔴 fora do ritmo"))</f>
        <v/>
      </c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3">
    <mergeCell ref="A3:H3"/>
    <mergeCell ref="A2:H2"/>
    <mergeCell ref="A1:H1"/>
  </mergeCells>
  <conditionalFormatting sqref="E6:E9">
    <cfRule type="dataBar" priority="1">
      <dataBar>
        <cfvo type="num" val="0"/>
        <cfvo type="num" val="1"/>
        <color rgb="002E9E5B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Hábitos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Marque 1 para feito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8" customHeight="1">
      <c r="A5" s="17" t="inlineStr">
        <is>
          <t>Hábito</t>
        </is>
      </c>
      <c r="B5" s="17" t="inlineStr">
        <is>
          <t>Seg</t>
        </is>
      </c>
      <c r="C5" s="17" t="inlineStr">
        <is>
          <t>Ter</t>
        </is>
      </c>
      <c r="D5" s="17" t="inlineStr">
        <is>
          <t>Qua</t>
        </is>
      </c>
      <c r="E5" s="17" t="inlineStr">
        <is>
          <t>Qui</t>
        </is>
      </c>
      <c r="F5" s="17" t="inlineStr">
        <is>
          <t>Sex</t>
        </is>
      </c>
      <c r="G5" s="17" t="inlineStr">
        <is>
          <t>Sáb</t>
        </is>
      </c>
      <c r="H5" s="17" t="inlineStr">
        <is>
          <t>Dom</t>
        </is>
      </c>
      <c r="I5" s="17" t="inlineStr">
        <is>
          <t>% Sem.</t>
        </is>
      </c>
      <c r="J5" s="17" t="inlineStr">
        <is>
          <t>Status</t>
        </is>
      </c>
      <c r="K5" s="2" t="n"/>
      <c r="L5" s="2" t="n"/>
      <c r="M5" s="2" t="n"/>
      <c r="N5" s="2" t="n"/>
    </row>
    <row r="6">
      <c r="A6" s="31" t="inlineStr">
        <is>
          <t>Treino</t>
        </is>
      </c>
      <c r="B6" s="27" t="n">
        <v>1</v>
      </c>
      <c r="C6" s="27" t="n">
        <v>1</v>
      </c>
      <c r="D6" s="27" t="n">
        <v>0</v>
      </c>
      <c r="E6" s="27" t="n">
        <v>1</v>
      </c>
      <c r="F6" s="27" t="n">
        <v>1</v>
      </c>
      <c r="G6" s="27" t="n">
        <v>0</v>
      </c>
      <c r="H6" s="27" t="n">
        <v>1</v>
      </c>
      <c r="I6" s="28">
        <f>COUNTIF(B6:H6,1)/7</f>
        <v/>
      </c>
      <c r="J6" s="27">
        <f>IF(I6&gt;=0.8,"🔥 forte","⚠ frágil")</f>
        <v/>
      </c>
      <c r="K6" s="2" t="n"/>
      <c r="L6" s="2" t="n"/>
      <c r="M6" s="2" t="n"/>
      <c r="N6" s="2" t="n"/>
    </row>
    <row r="7">
      <c r="A7" s="31" t="inlineStr">
        <is>
          <t>Leitura</t>
        </is>
      </c>
      <c r="B7" s="27" t="n">
        <v>1</v>
      </c>
      <c r="C7" s="27" t="n">
        <v>0</v>
      </c>
      <c r="D7" s="27" t="n">
        <v>1</v>
      </c>
      <c r="E7" s="27" t="n">
        <v>1</v>
      </c>
      <c r="F7" s="27" t="n">
        <v>0</v>
      </c>
      <c r="G7" s="27" t="n">
        <v>1</v>
      </c>
      <c r="H7" s="27" t="n">
        <v>1</v>
      </c>
      <c r="I7" s="28">
        <f>COUNTIF(B7:H7,1)/7</f>
        <v/>
      </c>
      <c r="J7" s="27">
        <f>IF(I7&gt;=0.8,"🔥 forte","⚠ frágil")</f>
        <v/>
      </c>
      <c r="K7" s="2" t="n"/>
      <c r="L7" s="2" t="n"/>
      <c r="M7" s="2" t="n"/>
      <c r="N7" s="2" t="n"/>
    </row>
    <row r="8">
      <c r="A8" s="31" t="inlineStr">
        <is>
          <t>Prospecção</t>
        </is>
      </c>
      <c r="B8" s="27" t="n">
        <v>1</v>
      </c>
      <c r="C8" s="27" t="n">
        <v>1</v>
      </c>
      <c r="D8" s="27" t="n">
        <v>1</v>
      </c>
      <c r="E8" s="27" t="n">
        <v>0</v>
      </c>
      <c r="F8" s="27" t="n">
        <v>1</v>
      </c>
      <c r="G8" s="27" t="n">
        <v>0</v>
      </c>
      <c r="H8" s="27" t="n">
        <v>0</v>
      </c>
      <c r="I8" s="28">
        <f>COUNTIF(B8:H8,1)/7</f>
        <v/>
      </c>
      <c r="J8" s="27">
        <f>IF(I8&gt;=0.8,"🔥 forte","⚠ frágil")</f>
        <v/>
      </c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mergeCells count="3">
    <mergeCell ref="A1:J1"/>
    <mergeCell ref="A3:J3"/>
    <mergeCell ref="A2:J2"/>
  </mergeCells>
  <conditionalFormatting sqref="I6:I8">
    <cfRule type="dataBar" priority="1">
      <dataBar>
        <cfvo type="num" val="0"/>
        <cfvo type="num" val="1"/>
        <color rgb="00C99C66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2026-07-22T20:17:02Z</dcterms:created>
  <dcterms:modified xmlns:dcterms="http://purl.org/dc/terms/" xmlns:xsi="http://www.w3.org/2001/XMLSchema-instance" xsi:type="dcterms:W3CDTF">2026-07-22T20:17:02Z</dcterms:modified>
</cp:coreProperties>
</file>