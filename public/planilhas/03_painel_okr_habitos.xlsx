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KRS" sheetId="2" state="visible" r:id="rId2"/>
    <sheet xmlns:r="http://schemas.openxmlformats.org/officeDocument/2006/relationships" name="HABITOS" sheetId="3" state="visible" r:id="rId3"/>
  </sheets>
  <definedNames>
    <definedName name="_xlnm.Print_Area" localSheetId="0">'DASHBOARD'!$A$1:$L$44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"/>
    <numFmt numFmtId="166" formatCode="0.0"/>
  </numFmts>
  <fonts count="16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color rgb="008A9691"/>
      <sz val="10"/>
    </font>
    <font>
      <name val="Aptos Narrow"/>
      <b val="1"/>
      <color rgb="00C99C66"/>
      <sz val="10"/>
    </font>
    <font>
      <name val="Aptos Narrow"/>
      <color rgb="0043D07F"/>
      <sz val="10"/>
    </font>
    <font>
      <name val="Aptos Narrow"/>
      <color rgb="00F3ECDD"/>
      <sz val="9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43D07F"/>
      <sz val="18"/>
    </font>
    <font>
      <name val="Aptos Narrow"/>
      <b val="1"/>
      <color rgb="00D9534F"/>
      <sz val="18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center" vertical="center"/>
    </xf>
    <xf numFmtId="0" fontId="0" fillId="4" borderId="1" pivotButton="0" quotePrefix="0" xfId="0"/>
    <xf numFmtId="9" fontId="12" fillId="4" borderId="1" applyAlignment="1" pivotButton="0" quotePrefix="0" xfId="0">
      <alignment horizontal="center" vertical="center"/>
    </xf>
    <xf numFmtId="1" fontId="14" fillId="4" borderId="1" applyAlignment="1" pivotButton="0" quotePrefix="0" xfId="0">
      <alignment horizontal="center" vertical="center"/>
    </xf>
    <xf numFmtId="1" fontId="15" fillId="4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1" fontId="1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 indent="1"/>
    </xf>
    <xf numFmtId="0" fontId="1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0" fontId="6" fillId="2" borderId="1" pivotButton="0" quotePrefix="0" xfId="0"/>
    <xf numFmtId="0" fontId="7" fillId="2" borderId="1" pivotButton="0" quotePrefix="0" xfId="0"/>
    <xf numFmtId="9" fontId="8" fillId="2" borderId="1" pivotButton="0" quotePrefix="0" xfId="0"/>
    <xf numFmtId="165" fontId="6" fillId="2" borderId="1" pivotButton="0" quotePrefix="0" xfId="0"/>
    <xf numFmtId="166" fontId="6" fillId="2" borderId="1" pivotButton="0" quotePrefix="0" xfId="0"/>
    <xf numFmtId="0" fontId="4" fillId="2" borderId="1" pivotButton="0" quotePrefix="0" xfId="0"/>
    <xf numFmtId="0" fontId="8" fillId="2" borderId="1" applyAlignment="1" pivotButton="0" quotePrefix="0" xfId="0">
      <alignment horizontal="center" vertical="center"/>
    </xf>
    <xf numFmtId="9" fontId="7" fillId="2" borderId="1" pivotButton="0" quotePrefix="0" xfId="0"/>
    <xf numFmtId="0" fontId="9" fillId="2" borderId="1" pivotButton="0" quotePrefix="0" xfId="0"/>
  </cellXfs>
  <cellStyles count="1">
    <cellStyle name="Normal" xfId="0" builtinId="0" hidden="0"/>
  </cellStyles>
  <dxfs count="1">
    <dxf>
      <font>
        <name val="Aptos Narrow"/>
        <b val="1"/>
        <color rgb="00FFFFFF"/>
        <sz val="9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de progresso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'OKRS'!E5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'OKRS'!$A$6:$A$11</f>
            </numRef>
          </cat>
          <val>
            <numRef>
              <f>'OKRS'!$E$6:$E$11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8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semanal</a:t>
            </a:r>
          </a:p>
        </rich>
      </tx>
    </title>
    <plotArea>
      <radarChart>
        <radarStyle val="filled"/>
        <ser>
          <idx val="0"/>
          <order val="0"/>
          <tx>
            <strRef>
              <f>'HABITOS'!I5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'HABITOS'!$A$6:$A$11</f>
            </numRef>
          </cat>
          <val>
            <numRef>
              <f>'HABITOS'!$I$6:$I$11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36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Painel OKR &amp; Hábitos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Progresso, previsão de atingimento e consistência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PROGRESSO MÉDIO</t>
        </is>
      </c>
      <c r="C5" s="6" t="n"/>
      <c r="D5" s="5" t="inlineStr">
        <is>
          <t>OKRS NO RITMO</t>
        </is>
      </c>
      <c r="E5" s="6" t="n"/>
      <c r="F5" s="5" t="inlineStr">
        <is>
          <t>OKRS EM RISCO</t>
        </is>
      </c>
      <c r="G5" s="6" t="n"/>
      <c r="H5" s="5" t="inlineStr">
        <is>
          <t>CONSISTÊNCIA HÁBITOS</t>
        </is>
      </c>
      <c r="I5" s="6" t="n"/>
      <c r="J5" s="5" t="inlineStr">
        <is>
          <t>OBJETIVOS ATIVOS</t>
        </is>
      </c>
      <c r="K5" s="6" t="n"/>
      <c r="L5" s="2" t="n"/>
    </row>
    <row r="6" ht="26" customHeight="1">
      <c r="A6" s="2" t="n"/>
      <c r="B6" s="7">
        <f>B40</f>
        <v/>
      </c>
      <c r="C6" s="6" t="n"/>
      <c r="D6" s="8">
        <f>B41</f>
        <v/>
      </c>
      <c r="E6" s="6" t="n"/>
      <c r="F6" s="9">
        <f>B42</f>
        <v/>
      </c>
      <c r="G6" s="6" t="n"/>
      <c r="H6" s="10">
        <f>B43</f>
        <v/>
      </c>
      <c r="I6" s="6" t="n"/>
      <c r="J6" s="11">
        <f>B44</f>
        <v/>
      </c>
      <c r="K6" s="6" t="n"/>
      <c r="L6" s="2" t="n"/>
    </row>
    <row r="7" ht="14" customHeight="1">
      <c r="A7" s="2" t="n"/>
      <c r="B7" s="12" t="inlineStr"/>
      <c r="C7" s="6" t="n"/>
      <c r="D7" s="12" t="inlineStr">
        <is>
          <t>atingem a meta no prazo</t>
        </is>
      </c>
      <c r="E7" s="6" t="n"/>
      <c r="F7" s="12" t="inlineStr"/>
      <c r="G7" s="6" t="n"/>
      <c r="H7" s="12" t="inlineStr"/>
      <c r="I7" s="6" t="n"/>
      <c r="J7" s="12" t="inlineStr"/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13" t="inlineStr">
        <is>
          <t>PROGRESSO POR OBJETIVO</t>
        </is>
      </c>
      <c r="C9" s="2" t="n"/>
      <c r="D9" s="2" t="n"/>
      <c r="E9" s="2" t="n"/>
      <c r="F9" s="2" t="n"/>
      <c r="G9" s="13" t="inlineStr">
        <is>
          <t>CONSISTÊNCIA DOS HÁBITOS</t>
        </is>
      </c>
      <c r="H9" s="2" t="n"/>
      <c r="I9" s="2" t="n"/>
      <c r="J9" s="2" t="n"/>
      <c r="K9" s="2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14">
        <f>AVERAGE(OKRS!E6:E11)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14">
        <f>COUNTIF(OKRS!H6:H11,"🟢 no ritmo")</f>
        <v/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14">
        <f>COUNTIF(OKRS!H6:H11,"🔴 fora do ritmo")</f>
        <v/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14">
        <f>AVERAGE(HABITOS!I6:I11)</f>
        <v/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14">
        <f>COUNTA(OKRS!A6:A11)</f>
        <v/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</sheetData>
  <mergeCells count="18">
    <mergeCell ref="D6:E6"/>
    <mergeCell ref="B6:C6"/>
    <mergeCell ref="A2:L2"/>
    <mergeCell ref="D7:E7"/>
    <mergeCell ref="B7:C7"/>
    <mergeCell ref="H6:I6"/>
    <mergeCell ref="J5:K5"/>
    <mergeCell ref="J6:K6"/>
    <mergeCell ref="B5:C5"/>
    <mergeCell ref="H7:I7"/>
    <mergeCell ref="A1:L1"/>
    <mergeCell ref="D5:E5"/>
    <mergeCell ref="F5:G5"/>
    <mergeCell ref="J7:K7"/>
    <mergeCell ref="F6:G6"/>
    <mergeCell ref="H5:I5"/>
    <mergeCell ref="A3:L3"/>
    <mergeCell ref="F7:G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1" customWidth="1" min="4" max="4"/>
    <col width="12" customWidth="1" min="5" max="5"/>
    <col width="13" customWidth="1" min="6" max="6"/>
    <col width="12" customWidth="1" min="7" max="7"/>
    <col width="16" customWidth="1" min="8" max="8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0" customHeight="1">
      <c r="A2" s="3" t="inlineStr">
        <is>
          <t>Objetivos &amp; Resultados-Chave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8" customHeight="1">
      <c r="A3" s="4" t="inlineStr">
        <is>
          <t>Progresso, ritmo e previsão de atingimento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6" customHeight="1">
      <c r="A5" s="15" t="inlineStr">
        <is>
          <t>Objetivo / KR</t>
        </is>
      </c>
      <c r="B5" s="15" t="inlineStr">
        <is>
          <t>Baseline</t>
        </is>
      </c>
      <c r="C5" s="15" t="inlineStr">
        <is>
          <t>Meta</t>
        </is>
      </c>
      <c r="D5" s="15" t="inlineStr">
        <is>
          <t>Atual</t>
        </is>
      </c>
      <c r="E5" s="15" t="inlineStr">
        <is>
          <t>% Progr.</t>
        </is>
      </c>
      <c r="F5" s="15" t="inlineStr">
        <is>
          <t>Prazo</t>
        </is>
      </c>
      <c r="G5" s="15" t="inlineStr">
        <is>
          <t>Ritmo/dia</t>
        </is>
      </c>
      <c r="H5" s="15" t="inlineStr">
        <is>
          <t>Previsão</t>
        </is>
      </c>
      <c r="I5" s="2" t="n"/>
      <c r="J5" s="2" t="n"/>
    </row>
    <row r="6">
      <c r="A6" s="16" t="inlineStr">
        <is>
          <t>Faturar R$ 40k/mês</t>
        </is>
      </c>
      <c r="B6" s="17" t="n">
        <v>12000</v>
      </c>
      <c r="C6" s="16" t="n">
        <v>40000</v>
      </c>
      <c r="D6" s="18" t="n">
        <v>26500</v>
      </c>
      <c r="E6" s="19">
        <f>IFERROR((D6-B6)/(C6-B6),0)</f>
        <v/>
      </c>
      <c r="F6" s="20" t="n">
        <v>46375</v>
      </c>
      <c r="G6" s="21">
        <f>IFERROR((D6-B6)/40,0)</f>
        <v/>
      </c>
      <c r="H6" s="22">
        <f>IF((D6+G6*(F6-TODAY()))&gt;=C6,"🟢 no ritmo",IF((D6+G6*(F6-TODAY()))&gt;=C6*0.8,"🟡 risco","🔴 fora do ritmo"))</f>
        <v/>
      </c>
      <c r="I6" s="2" t="n"/>
      <c r="J6" s="2" t="n"/>
    </row>
    <row r="7">
      <c r="A7" s="16" t="inlineStr">
        <is>
          <t>Reserva de emergência</t>
        </is>
      </c>
      <c r="B7" s="17" t="n">
        <v>0</v>
      </c>
      <c r="C7" s="16" t="n">
        <v>30000</v>
      </c>
      <c r="D7" s="18" t="n">
        <v>14500</v>
      </c>
      <c r="E7" s="19">
        <f>IFERROR((D7-B7)/(C7-B7),0)</f>
        <v/>
      </c>
      <c r="F7" s="20" t="n">
        <v>46345</v>
      </c>
      <c r="G7" s="21">
        <f>IFERROR((D7-B7)/40,0)</f>
        <v/>
      </c>
      <c r="H7" s="22">
        <f>IF((D7+G7*(F7-TODAY()))&gt;=C7,"🟢 no ritmo",IF((D7+G7*(F7-TODAY()))&gt;=C7*0.8,"🟡 risco","🔴 fora do ritmo"))</f>
        <v/>
      </c>
      <c r="I7" s="2" t="n"/>
      <c r="J7" s="2" t="n"/>
    </row>
    <row r="8">
      <c r="A8" s="16" t="inlineStr">
        <is>
          <t>Reduzir custo fixo</t>
        </is>
      </c>
      <c r="B8" s="17" t="n">
        <v>8000</v>
      </c>
      <c r="C8" s="16" t="n">
        <v>5000</v>
      </c>
      <c r="D8" s="18" t="n">
        <v>6800</v>
      </c>
      <c r="E8" s="19">
        <f>IFERROR((D8-B8)/(C8-B8),0)</f>
        <v/>
      </c>
      <c r="F8" s="20" t="n">
        <v>46315</v>
      </c>
      <c r="G8" s="21">
        <f>IFERROR((D8-B8)/40,0)</f>
        <v/>
      </c>
      <c r="H8" s="22">
        <f>IF((D8+G8*(F8-TODAY()))&gt;=C8,"🟢 no ritmo",IF((D8+G8*(F8-TODAY()))&gt;=C8*0.8,"🟡 risco","🔴 fora do ritmo"))</f>
        <v/>
      </c>
      <c r="I8" s="2" t="n"/>
      <c r="J8" s="2" t="n"/>
    </row>
    <row r="9">
      <c r="A9" s="16" t="inlineStr">
        <is>
          <t>Fechar 12 contratos</t>
        </is>
      </c>
      <c r="B9" s="17" t="n">
        <v>0</v>
      </c>
      <c r="C9" s="16" t="n">
        <v>12</v>
      </c>
      <c r="D9" s="18" t="n">
        <v>7</v>
      </c>
      <c r="E9" s="19">
        <f>IFERROR((D9-B9)/(C9-B9),0)</f>
        <v/>
      </c>
      <c r="F9" s="20" t="n">
        <v>46385</v>
      </c>
      <c r="G9" s="21">
        <f>IFERROR((D9-B9)/40,0)</f>
        <v/>
      </c>
      <c r="H9" s="22">
        <f>IF((D9+G9*(F9-TODAY()))&gt;=C9,"🟢 no ritmo",IF((D9+G9*(F9-TODAY()))&gt;=C9*0.8,"🟡 risco","🔴 fora do ritmo"))</f>
        <v/>
      </c>
      <c r="I9" s="2" t="n"/>
      <c r="J9" s="2" t="n"/>
    </row>
    <row r="10">
      <c r="A10" s="16" t="inlineStr">
        <is>
          <t>MRR de produto</t>
        </is>
      </c>
      <c r="B10" s="17" t="n">
        <v>0</v>
      </c>
      <c r="C10" s="16" t="n">
        <v>15000</v>
      </c>
      <c r="D10" s="18" t="n">
        <v>6200</v>
      </c>
      <c r="E10" s="19">
        <f>IFERROR((D10-B10)/(C10-B10),0)</f>
        <v/>
      </c>
      <c r="F10" s="20" t="n">
        <v>46425</v>
      </c>
      <c r="G10" s="21">
        <f>IFERROR((D10-B10)/40,0)</f>
        <v/>
      </c>
      <c r="H10" s="22">
        <f>IF((D10+G10*(F10-TODAY()))&gt;=C10,"🟢 no ritmo",IF((D10+G10*(F10-TODAY()))&gt;=C10*0.8,"🟡 risco","🔴 fora do ritmo"))</f>
        <v/>
      </c>
      <c r="I10" s="2" t="n"/>
      <c r="J10" s="2" t="n"/>
    </row>
    <row r="11">
      <c r="A11" s="16" t="inlineStr">
        <is>
          <t>NPS acima de 70</t>
        </is>
      </c>
      <c r="B11" s="17" t="n">
        <v>40</v>
      </c>
      <c r="C11" s="16" t="n">
        <v>70</v>
      </c>
      <c r="D11" s="18" t="n">
        <v>58</v>
      </c>
      <c r="E11" s="19">
        <f>IFERROR((D11-B11)/(C11-B11),0)</f>
        <v/>
      </c>
      <c r="F11" s="20" t="n">
        <v>46305</v>
      </c>
      <c r="G11" s="21">
        <f>IFERROR((D11-B11)/40,0)</f>
        <v/>
      </c>
      <c r="H11" s="22">
        <f>IF((D11+G11*(F11-TODAY()))&gt;=C11,"🟢 no ritmo",IF((D11+G11*(F11-TODAY()))&gt;=C11*0.8,"🟡 risco","🔴 fora do ritmo"))</f>
        <v/>
      </c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3">
    <mergeCell ref="A3:H3"/>
    <mergeCell ref="A2:H2"/>
    <mergeCell ref="A1:H1"/>
  </mergeCells>
  <conditionalFormatting sqref="E6:E11">
    <cfRule type="dataBar" priority="1">
      <dataBar>
        <cfvo type="num" val="0"/>
        <cfvo type="num" val="1"/>
        <color rgb="002E9E5B"/>
      </dataBar>
    </cfRule>
  </conditionalFormatting>
  <conditionalFormatting sqref="H6:H11">
    <cfRule type="cellIs" priority="2" operator="equal" dxfId="0">
      <formula>"🔴 fora do ritmo"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11" customWidth="1" min="9" max="9"/>
    <col width="16" customWidth="1" min="10" max="10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30" customHeight="1">
      <c r="A2" s="3" t="inlineStr">
        <is>
          <t>Hábitos da Semana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8" customHeight="1">
      <c r="A3" s="4" t="inlineStr">
        <is>
          <t>Marque 1 (feito) — consistência automática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6" customHeight="1">
      <c r="A5" s="15" t="inlineStr">
        <is>
          <t>Hábito</t>
        </is>
      </c>
      <c r="B5" s="15" t="inlineStr">
        <is>
          <t>Seg</t>
        </is>
      </c>
      <c r="C5" s="15" t="inlineStr">
        <is>
          <t>Ter</t>
        </is>
      </c>
      <c r="D5" s="15" t="inlineStr">
        <is>
          <t>Qua</t>
        </is>
      </c>
      <c r="E5" s="15" t="inlineStr">
        <is>
          <t>Qui</t>
        </is>
      </c>
      <c r="F5" s="15" t="inlineStr">
        <is>
          <t>Sex</t>
        </is>
      </c>
      <c r="G5" s="15" t="inlineStr">
        <is>
          <t>Sáb</t>
        </is>
      </c>
      <c r="H5" s="15" t="inlineStr">
        <is>
          <t>Dom</t>
        </is>
      </c>
      <c r="I5" s="15" t="inlineStr">
        <is>
          <t>% Sem.</t>
        </is>
      </c>
      <c r="J5" s="15" t="inlineStr">
        <is>
          <t>Status</t>
        </is>
      </c>
      <c r="K5" s="2" t="n"/>
      <c r="L5" s="2" t="n"/>
      <c r="M5" s="2" t="n"/>
      <c r="N5" s="2" t="n"/>
    </row>
    <row r="6">
      <c r="A6" s="16" t="inlineStr">
        <is>
          <t>Treino / movimento</t>
        </is>
      </c>
      <c r="B6" s="23" t="n">
        <v>1</v>
      </c>
      <c r="C6" s="23" t="n">
        <v>1</v>
      </c>
      <c r="D6" s="23" t="n"/>
      <c r="E6" s="23" t="n">
        <v>1</v>
      </c>
      <c r="F6" s="23" t="n">
        <v>1</v>
      </c>
      <c r="G6" s="23" t="n"/>
      <c r="H6" s="23" t="n">
        <v>1</v>
      </c>
      <c r="I6" s="24">
        <f>COUNTIF(B6:H6,1)/7</f>
        <v/>
      </c>
      <c r="J6" s="25">
        <f>IF(I6&gt;=0.8,"🔥 forte",IF(I6&gt;=0.5,"ok","⚠ frágil"))</f>
        <v/>
      </c>
      <c r="K6" s="2" t="n"/>
      <c r="L6" s="2" t="n"/>
      <c r="M6" s="2" t="n"/>
      <c r="N6" s="2" t="n"/>
    </row>
    <row r="7">
      <c r="A7" s="16" t="inlineStr">
        <is>
          <t>Leitura 20min</t>
        </is>
      </c>
      <c r="B7" s="23" t="n">
        <v>1</v>
      </c>
      <c r="C7" s="23" t="n"/>
      <c r="D7" s="23" t="n">
        <v>1</v>
      </c>
      <c r="E7" s="23" t="n">
        <v>1</v>
      </c>
      <c r="F7" s="23" t="n"/>
      <c r="G7" s="23" t="n">
        <v>1</v>
      </c>
      <c r="H7" s="23" t="n">
        <v>1</v>
      </c>
      <c r="I7" s="24">
        <f>COUNTIF(B7:H7,1)/7</f>
        <v/>
      </c>
      <c r="J7" s="25">
        <f>IF(I7&gt;=0.8,"🔥 forte",IF(I7&gt;=0.5,"ok","⚠ frágil"))</f>
        <v/>
      </c>
      <c r="K7" s="2" t="n"/>
      <c r="L7" s="2" t="n"/>
      <c r="M7" s="2" t="n"/>
      <c r="N7" s="2" t="n"/>
    </row>
    <row r="8">
      <c r="A8" s="16" t="inlineStr">
        <is>
          <t>Prospecção comercial</t>
        </is>
      </c>
      <c r="B8" s="23" t="n">
        <v>1</v>
      </c>
      <c r="C8" s="23" t="n">
        <v>1</v>
      </c>
      <c r="D8" s="23" t="n">
        <v>1</v>
      </c>
      <c r="E8" s="23" t="n"/>
      <c r="F8" s="23" t="n">
        <v>1</v>
      </c>
      <c r="G8" s="23" t="n"/>
      <c r="H8" s="23" t="n"/>
      <c r="I8" s="24">
        <f>COUNTIF(B8:H8,1)/7</f>
        <v/>
      </c>
      <c r="J8" s="25">
        <f>IF(I8&gt;=0.8,"🔥 forte",IF(I8&gt;=0.5,"ok","⚠ frágil"))</f>
        <v/>
      </c>
      <c r="K8" s="2" t="n"/>
      <c r="L8" s="2" t="n"/>
      <c r="M8" s="2" t="n"/>
      <c r="N8" s="2" t="n"/>
    </row>
    <row r="9">
      <c r="A9" s="16" t="inlineStr">
        <is>
          <t>Registrar finanças</t>
        </is>
      </c>
      <c r="B9" s="23" t="n">
        <v>1</v>
      </c>
      <c r="C9" s="23" t="n">
        <v>1</v>
      </c>
      <c r="D9" s="23" t="n">
        <v>1</v>
      </c>
      <c r="E9" s="23" t="n">
        <v>1</v>
      </c>
      <c r="F9" s="23" t="n">
        <v>1</v>
      </c>
      <c r="G9" s="23" t="n">
        <v>1</v>
      </c>
      <c r="H9" s="23" t="n"/>
      <c r="I9" s="24">
        <f>COUNTIF(B9:H9,1)/7</f>
        <v/>
      </c>
      <c r="J9" s="25">
        <f>IF(I9&gt;=0.8,"🔥 forte",IF(I9&gt;=0.5,"ok","⚠ frágil"))</f>
        <v/>
      </c>
      <c r="K9" s="2" t="n"/>
      <c r="L9" s="2" t="n"/>
      <c r="M9" s="2" t="n"/>
      <c r="N9" s="2" t="n"/>
    </row>
    <row r="10">
      <c r="A10" s="16" t="inlineStr">
        <is>
          <t>Sono 7h+</t>
        </is>
      </c>
      <c r="B10" s="23" t="n"/>
      <c r="C10" s="23" t="n">
        <v>1</v>
      </c>
      <c r="D10" s="23" t="n">
        <v>1</v>
      </c>
      <c r="E10" s="23" t="n"/>
      <c r="F10" s="23" t="n">
        <v>1</v>
      </c>
      <c r="G10" s="23" t="n">
        <v>1</v>
      </c>
      <c r="H10" s="23" t="n">
        <v>1</v>
      </c>
      <c r="I10" s="24">
        <f>COUNTIF(B10:H10,1)/7</f>
        <v/>
      </c>
      <c r="J10" s="25">
        <f>IF(I10&gt;=0.8,"🔥 forte",IF(I10&gt;=0.5,"ok","⚠ frágil"))</f>
        <v/>
      </c>
      <c r="K10" s="2" t="n"/>
      <c r="L10" s="2" t="n"/>
      <c r="M10" s="2" t="n"/>
      <c r="N10" s="2" t="n"/>
    </row>
    <row r="11">
      <c r="A11" s="16" t="inlineStr">
        <is>
          <t>Deep work 2h</t>
        </is>
      </c>
      <c r="B11" s="23" t="n">
        <v>1</v>
      </c>
      <c r="C11" s="23" t="n">
        <v>1</v>
      </c>
      <c r="D11" s="23" t="n"/>
      <c r="E11" s="23" t="n">
        <v>1</v>
      </c>
      <c r="F11" s="23" t="n">
        <v>1</v>
      </c>
      <c r="G11" s="23" t="n"/>
      <c r="H11" s="23" t="n"/>
      <c r="I11" s="24">
        <f>COUNTIF(B11:H11,1)/7</f>
        <v/>
      </c>
      <c r="J11" s="25">
        <f>IF(I11&gt;=0.8,"🔥 forte",IF(I11&gt;=0.5,"ok","⚠ frágil"))</f>
        <v/>
      </c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mergeCells count="3">
    <mergeCell ref="A1:J1"/>
    <mergeCell ref="A3:J3"/>
    <mergeCell ref="A2:J2"/>
  </mergeCells>
  <conditionalFormatting sqref="B6:H11">
    <cfRule type="iconSet" priority="1">
      <iconSet iconSet="3Symbols">
        <cfvo type="num" val="0"/>
        <cfvo type="num" val="1"/>
        <cfvo type="num" val="1"/>
      </iconSet>
    </cfRule>
  </conditionalFormatting>
  <conditionalFormatting sqref="I6:I11">
    <cfRule type="colorScale" priority="2">
      <colorScale>
        <cfvo type="num" val="0"/>
        <cfvo type="num" val="0.5"/>
        <cfvo type="num" val="1"/>
        <color rgb="00D9534F"/>
        <color rgb="00E0A94B"/>
        <color rgb="002E9E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2026-07-22T16:40:43Z</dcterms:created>
  <dcterms:modified xmlns:dcterms="http://purl.org/dc/terms/" xmlns:xsi="http://www.w3.org/2001/XMLSchema-instance" xsi:type="dcterms:W3CDTF">2026-07-22T16:40:43Z</dcterms:modified>
</cp:coreProperties>
</file>