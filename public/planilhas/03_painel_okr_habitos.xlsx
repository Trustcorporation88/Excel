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F9734098-6172-48EF-832E-2EAEC9E8A886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OKRS" sheetId="2" r:id="rId2"/>
    <sheet name="HABITOS" sheetId="3" r:id="rId3"/>
  </sheets>
  <definedNames>
    <definedName name="_xlnm.Print_Area" localSheetId="0">DASHBOARD!$A$1:$L$32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" l="1"/>
  <c r="J8" i="3" s="1"/>
  <c r="I7" i="3"/>
  <c r="J7" i="3" s="1"/>
  <c r="I6" i="3"/>
  <c r="J6" i="3" s="1"/>
  <c r="G9" i="2"/>
  <c r="H9" i="2" s="1"/>
  <c r="E9" i="2"/>
  <c r="I30" i="1" s="1"/>
  <c r="G8" i="2"/>
  <c r="H8" i="2" s="1"/>
  <c r="E8" i="2"/>
  <c r="I29" i="1" s="1"/>
  <c r="G7" i="2"/>
  <c r="H7" i="2" s="1"/>
  <c r="E7" i="2"/>
  <c r="I28" i="1" s="1"/>
  <c r="G6" i="2"/>
  <c r="H6" i="2" s="1"/>
  <c r="E6" i="2"/>
  <c r="Z40" i="1" s="1"/>
  <c r="Z44" i="1"/>
  <c r="J6" i="1" s="1"/>
  <c r="Z43" i="1"/>
  <c r="H6" i="1" s="1"/>
  <c r="G15" i="1"/>
  <c r="F15" i="1" s="1"/>
  <c r="G14" i="1"/>
  <c r="E14" i="1" s="1"/>
  <c r="D14" i="1"/>
  <c r="G13" i="1"/>
  <c r="F13" i="1" s="1"/>
  <c r="D15" i="1" l="1"/>
  <c r="F14" i="1"/>
  <c r="C14" i="1"/>
  <c r="B9" i="1"/>
  <c r="B6" i="1"/>
  <c r="C27" i="1"/>
  <c r="Z41" i="1"/>
  <c r="Z42" i="1"/>
  <c r="F6" i="1" s="1"/>
  <c r="E15" i="1"/>
  <c r="C29" i="1"/>
  <c r="I27" i="1"/>
  <c r="J27" i="1" s="1"/>
  <c r="D13" i="1"/>
  <c r="E13" i="1"/>
  <c r="J30" i="1" l="1"/>
  <c r="J28" i="1"/>
  <c r="J29" i="1"/>
  <c r="D6" i="1"/>
  <c r="C28" i="1"/>
</calcChain>
</file>

<file path=xl/sharedStrings.xml><?xml version="1.0" encoding="utf-8"?>
<sst xmlns="http://schemas.openxmlformats.org/spreadsheetml/2006/main" count="68" uniqueCount="65">
  <si>
    <t>TRUST EXCEL  ·  TRUST CORPORATION</t>
  </si>
  <si>
    <t>Painel OKR &amp; Hábitos</t>
  </si>
  <si>
    <t>Atingimento por ritmo · burndown · consistência</t>
  </si>
  <si>
    <t>PROGRESSO MÉDIO</t>
  </si>
  <si>
    <t>OKRS NO RITMO</t>
  </si>
  <si>
    <t>OKRS EM RISCO</t>
  </si>
  <si>
    <t>CONSISTÊNCIA HÁB.</t>
  </si>
  <si>
    <t>OBJETIVOS</t>
  </si>
  <si>
    <t>GAP DOS OKRs (Soma)</t>
  </si>
  <si>
    <t>PROGRESSO INDIVIDUAL</t>
  </si>
  <si>
    <t>Etapa</t>
  </si>
  <si>
    <t>Base</t>
  </si>
  <si>
    <t>Alta</t>
  </si>
  <si>
    <t>Baixa</t>
  </si>
  <si>
    <t>Total</t>
  </si>
  <si>
    <t>Δ</t>
  </si>
  <si>
    <t>Meta total</t>
  </si>
  <si>
    <t>− Já feito</t>
  </si>
  <si>
    <t>Gap</t>
  </si>
  <si>
    <t>MINI-SPARKLINES</t>
  </si>
  <si>
    <t>SPARK POR OKR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</si>
  <si>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</si>
  <si>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</si>
  <si>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</si>
  <si>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</si>
  <si>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</si>
  <si>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</si>
  <si>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</si>
  <si>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</si>
  <si>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</si>
  <si>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Progresso %</t>
  </si>
  <si>
    <t>OKR1</t>
  </si>
  <si>
    <t>No ritmo</t>
  </si>
  <si>
    <t>OKR2</t>
  </si>
  <si>
    <t>Hábitos %</t>
  </si>
  <si>
    <t>OKR3</t>
  </si>
  <si>
    <t>OKR4</t>
  </si>
  <si>
    <t>OKRs e Hábitos</t>
  </si>
  <si>
    <t>Acompanhamento por ritmo e consistência</t>
  </si>
  <si>
    <t>Objetivo / KR</t>
  </si>
  <si>
    <t>Baseline</t>
  </si>
  <si>
    <t>Meta</t>
  </si>
  <si>
    <t>% Progr.</t>
  </si>
  <si>
    <t>Prazo</t>
  </si>
  <si>
    <t>Ritmo/dia</t>
  </si>
  <si>
    <t>Previsão</t>
  </si>
  <si>
    <t>Faturar R$ 40k/mês</t>
  </si>
  <si>
    <t>Reserva emergência</t>
  </si>
  <si>
    <t>Reduzir custo fixo</t>
  </si>
  <si>
    <t>Fechar 12 contratos</t>
  </si>
  <si>
    <t>Hábitos</t>
  </si>
  <si>
    <t>Marque 1 para feito</t>
  </si>
  <si>
    <t>Hábito</t>
  </si>
  <si>
    <t>Seg</t>
  </si>
  <si>
    <t>Ter</t>
  </si>
  <si>
    <t>Qua</t>
  </si>
  <si>
    <t>Qui</t>
  </si>
  <si>
    <t>Sex</t>
  </si>
  <si>
    <t>Sáb</t>
  </si>
  <si>
    <t>Dom</t>
  </si>
  <si>
    <t>% Sem.</t>
  </si>
  <si>
    <t>Status</t>
  </si>
  <si>
    <t>Treino</t>
  </si>
  <si>
    <t>Leitura</t>
  </si>
  <si>
    <t>Prospecção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</si>
</sst>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"/>
    <numFmt numFmtId="166" formatCode="0.0"/>
    <numFmt numFmtId="167" formatCode="#,##0;\(#,##0\);&quot;—&quot;"/>
    <numFmt numFmtId="168" formatCode="#,##0.0;\(#,##0.0\);&quot;—&quot;"/>
  </numFmts>
  <fonts count="18" x14ac:knownFonts="1">
    <font>
      <sz val="11"/>
      <color theme="1"/>
      <name val="Calibri"/>
      <family val="2"/>
      <scheme val="minor"/>
    </font>
    <font>
      <b/>
      <sz val="8"/>
      <color rgb="FFC99C66"/>
      <name val="Calibri"/>
    </font>
    <font>
      <b/>
      <sz val="22"/>
      <color rgb="FFF3ECDD"/>
      <name val="Calibri"/>
    </font>
    <font>
      <i/>
      <sz val="9"/>
      <color rgb="FF8A9691"/>
      <name val="Calibri"/>
    </font>
    <font>
      <b/>
      <sz val="8"/>
      <color rgb="FFF3ECDD"/>
      <name val="Calibri"/>
    </font>
    <font>
      <sz val="9"/>
      <color rgb="FFF3ECDD"/>
      <name val="Calibri"/>
    </font>
    <font>
      <b/>
      <sz val="7"/>
      <color rgb="FF8A9691"/>
      <name val="Calibri"/>
    </font>
    <font>
      <b/>
      <sz val="18"/>
      <color rgb="FFC99C66"/>
      <name val="Calibri"/>
    </font>
    <font>
      <i/>
      <sz val="7"/>
      <color rgb="FF8A9691"/>
      <name val="Calibri"/>
    </font>
    <font>
      <b/>
      <sz val="18"/>
      <color rgb="FF43D07F"/>
      <name val="Calibri"/>
    </font>
    <font>
      <b/>
      <sz val="18"/>
      <color rgb="FFD9534F"/>
      <name val="Calibri"/>
    </font>
    <font>
      <b/>
      <sz val="10"/>
      <color rgb="FFF3ECDD"/>
      <name val="Calibri"/>
    </font>
    <font>
      <b/>
      <sz val="9"/>
      <color rgb="FFC99C66"/>
      <name val="Calibri"/>
    </font>
    <font>
      <sz val="8"/>
      <color rgb="FFF3ECDD"/>
      <name val="Calibri"/>
    </font>
    <font>
      <sz val="8"/>
      <color rgb="FF8A9691"/>
      <name val="Calibri"/>
    </font>
    <font>
      <sz val="7"/>
      <color rgb="FF8A9691"/>
      <name val="Calibri"/>
    </font>
    <font>
      <sz val="8"/>
      <color rgb="FFC99C66"/>
      <name val="Calibri"/>
    </font>
    <font>
      <sz val="7"/>
      <color rgb="FF43D0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210"/>
      </patternFill>
    </fill>
    <fill>
      <patternFill patternType="solid">
        <fgColor rgb="FF121C18"/>
      </patternFill>
    </fill>
    <fill>
      <patternFill patternType="solid">
        <fgColor rgb="FF182620"/>
      </patternFill>
    </fill>
    <fill>
      <patternFill patternType="solid">
        <fgColor rgb="FF1E3028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2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/>
    <xf numFmtId="167" fontId="14" fillId="2" borderId="1" xfId="0" applyNumberFormat="1" applyFont="1" applyFill="1" applyBorder="1"/>
    <xf numFmtId="167" fontId="1" fillId="2" borderId="1" xfId="0" applyNumberFormat="1" applyFont="1" applyFill="1" applyBorder="1"/>
    <xf numFmtId="168" fontId="12" fillId="2" borderId="1" xfId="0" applyNumberFormat="1" applyFont="1" applyFill="1" applyBorder="1"/>
    <xf numFmtId="1" fontId="15" fillId="2" borderId="1" xfId="0" applyNumberFormat="1" applyFont="1" applyFill="1" applyBorder="1"/>
    <xf numFmtId="168" fontId="16" fillId="2" borderId="1" xfId="0" applyNumberFormat="1" applyFont="1" applyFill="1" applyBorder="1"/>
    <xf numFmtId="0" fontId="17" fillId="2" borderId="1" xfId="0" applyFont="1" applyFill="1" applyBorder="1" applyAlignment="1">
      <alignment horizontal="center" vertical="center"/>
    </xf>
    <xf numFmtId="0" fontId="15" fillId="2" borderId="1" xfId="0" applyFont="1" applyFill="1" applyBorder="1"/>
    <xf numFmtId="0" fontId="17" fillId="2" borderId="1" xfId="0" applyFont="1" applyFill="1" applyBorder="1"/>
    <xf numFmtId="0" fontId="5" fillId="2" borderId="1" xfId="0" applyFont="1" applyFill="1" applyBorder="1"/>
    <xf numFmtId="9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0" fontId="5" fillId="2" borderId="0" xfId="0" applyFont="1" applyFill="1"/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1" fillId="4" borderId="1" xfId="0" applyFont="1" applyFill="1" applyBorder="1" applyAlignment="1">
      <alignment horizontal="left" vertical="center" indent="1"/>
    </xf>
    <xf numFmtId="1" fontId="1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1" fontId="9" fillId="5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9" fontId="9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b/>
        <sz val="8"/>
        <color rgb="FFD9534F"/>
        <name val="Calibri"/>
      </font>
    </dxf>
    <dxf>
      <font>
        <b/>
        <sz val="8"/>
        <color rgb="FF43D07F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Cascata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Meta total</c:v>
                </c:pt>
                <c:pt idx="1">
                  <c:v>− Já feito</c:v>
                </c:pt>
                <c:pt idx="2">
                  <c:v>Gap</c:v>
                </c:pt>
              </c:strCache>
            </c:strRef>
          </c:cat>
          <c:val>
            <c:numRef>
              <c:f>DASHBOARD!$C$13:$C$15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27205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2-40B7-ABCB-30598A91269E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Meta total</c:v>
                </c:pt>
                <c:pt idx="1">
                  <c:v>− Já feito</c:v>
                </c:pt>
                <c:pt idx="2">
                  <c:v>Gap</c:v>
                </c:pt>
              </c:strCache>
            </c:strRef>
          </c:cat>
          <c:val>
            <c:numRef>
              <c:f>DASHBOARD!$D$13:$D$15</c:f>
              <c:numCache>
                <c:formatCode>#,##0;\(#,##0\);"—"</c:formatCode>
                <c:ptCount val="3"/>
                <c:pt idx="0">
                  <c:v>75012</c:v>
                </c:pt>
                <c:pt idx="1">
                  <c:v>0</c:v>
                </c:pt>
                <c:pt idx="2">
                  <c:v>27205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A22-40B7-ABCB-30598A91269E}"/>
            </c:ext>
          </c:extLst>
        </c:ser>
        <c:ser>
          <c:idx val="2"/>
          <c:order val="2"/>
          <c:tx>
            <c:strRef>
              <c:f>DASHBOARD!$E$12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Meta total</c:v>
                </c:pt>
                <c:pt idx="1">
                  <c:v>− Já feito</c:v>
                </c:pt>
                <c:pt idx="2">
                  <c:v>Gap</c:v>
                </c:pt>
              </c:strCache>
            </c:strRef>
          </c:cat>
          <c:val>
            <c:numRef>
              <c:f>DASHBOARD!$E$13:$E$15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47807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A22-40B7-ABCB-30598A912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OKRS!$E$5</c:f>
              <c:strCache>
                <c:ptCount val="1"/>
                <c:pt idx="0">
                  <c:v>% Progr.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OKRS!$A$6:$A$9</c:f>
              <c:strCache>
                <c:ptCount val="4"/>
                <c:pt idx="0">
                  <c:v>Faturar R$ 40k/mês</c:v>
                </c:pt>
                <c:pt idx="1">
                  <c:v>Reserva emergência</c:v>
                </c:pt>
                <c:pt idx="2">
                  <c:v>Reduzir custo fixo</c:v>
                </c:pt>
                <c:pt idx="3">
                  <c:v>Fechar 12 contratos</c:v>
                </c:pt>
              </c:strCache>
            </c:strRef>
          </c:cat>
          <c:val>
            <c:numRef>
              <c:f>OKRS!$E$6:$E$9</c:f>
              <c:numCache>
                <c:formatCode>0%</c:formatCode>
                <c:ptCount val="4"/>
                <c:pt idx="0">
                  <c:v>0.5178571428571429</c:v>
                </c:pt>
                <c:pt idx="1">
                  <c:v>0.48333333333333334</c:v>
                </c:pt>
                <c:pt idx="2">
                  <c:v>0.4</c:v>
                </c:pt>
                <c:pt idx="3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1-4162-BF64-1194E820E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000">
              <a:solidFill>
                <a:srgbClr val="C99C66"/>
              </a:solidFill>
              <a:prstDash val="solid"/>
            </a:ln>
          </c:spPr>
          <c:marker>
            <c:symbol val="none"/>
          </c:marker>
          <c:cat>
            <c:strRef>
              <c:f>DASHBOARD!$H$27:$H$30</c:f>
              <c:strCache>
                <c:ptCount val="4"/>
                <c:pt idx="0">
                  <c:v>OKR1</c:v>
                </c:pt>
                <c:pt idx="1">
                  <c:v>OKR2</c:v>
                </c:pt>
                <c:pt idx="2">
                  <c:v>OKR3</c:v>
                </c:pt>
                <c:pt idx="3">
                  <c:v>OKR4</c:v>
                </c:pt>
              </c:strCache>
            </c:strRef>
          </c:cat>
          <c:val>
            <c:numRef>
              <c:f>DASHBOARD!$I$27:$I$30</c:f>
              <c:numCache>
                <c:formatCode>#,##0.0;\(#,##0.0\);"—"</c:formatCode>
                <c:ptCount val="4"/>
                <c:pt idx="0">
                  <c:v>51.785714285714292</c:v>
                </c:pt>
                <c:pt idx="1">
                  <c:v>48.333333333333336</c:v>
                </c:pt>
                <c:pt idx="2">
                  <c:v>40</c:v>
                </c:pt>
                <c:pt idx="3">
                  <c:v>58.333333333333336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74-4D2A-B643-1C247F3A1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2880000" cy="151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2880000" cy="187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1980000" cy="1007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4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" customWidth="1"/>
    <col min="2" max="12" width="14" customWidth="1"/>
    <col min="26" max="31" width="13" hidden="1" customWidth="1"/>
  </cols>
  <sheetData>
    <row r="1" spans="1:14" ht="14" customHeight="1" x14ac:dyDescent="0.45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"/>
      <c r="N1" s="1"/>
    </row>
    <row r="2" spans="1:14" ht="28.05" customHeight="1" x14ac:dyDescent="0.45">
      <c r="A2" s="28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1"/>
      <c r="N2" s="1"/>
    </row>
    <row r="3" spans="1:14" ht="14" customHeight="1" x14ac:dyDescent="0.45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1"/>
      <c r="N3" s="1"/>
    </row>
    <row r="4" spans="1:14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3.05" customHeight="1" x14ac:dyDescent="0.45">
      <c r="A5" s="1"/>
      <c r="B5" s="20" t="s">
        <v>3</v>
      </c>
      <c r="C5" s="21"/>
      <c r="D5" s="20" t="s">
        <v>4</v>
      </c>
      <c r="E5" s="21"/>
      <c r="F5" s="20" t="s">
        <v>5</v>
      </c>
      <c r="G5" s="21"/>
      <c r="H5" s="20" t="s">
        <v>6</v>
      </c>
      <c r="I5" s="21"/>
      <c r="J5" s="20" t="s">
        <v>7</v>
      </c>
      <c r="K5" s="21"/>
      <c r="L5" s="1"/>
      <c r="M5" s="1"/>
      <c r="N5" s="1"/>
    </row>
    <row r="6" spans="1:14" ht="28.05" customHeight="1" x14ac:dyDescent="0.45">
      <c r="A6" s="1"/>
      <c r="B6" s="31">
        <f>Z40</f>
        <v>0.49613095238095239</v>
      </c>
      <c r="C6" s="24"/>
      <c r="D6" s="27">
        <f ca="1">Z41</f>
        <v>3</v>
      </c>
      <c r="E6" s="24"/>
      <c r="F6" s="23">
        <f ca="1">Z42</f>
        <v>0</v>
      </c>
      <c r="G6" s="24"/>
      <c r="H6" s="29">
        <f>Z43</f>
        <v>0.66666666666666663</v>
      </c>
      <c r="I6" s="24"/>
      <c r="J6" s="30">
        <f>Z44</f>
        <v>4</v>
      </c>
      <c r="K6" s="24"/>
      <c r="L6" s="1"/>
      <c r="M6" s="1"/>
      <c r="N6" s="1"/>
    </row>
    <row r="7" spans="1:14" ht="12" customHeight="1" x14ac:dyDescent="0.45">
      <c r="A7" s="1"/>
      <c r="B7" s="18"/>
      <c r="C7" s="19"/>
      <c r="D7" s="18"/>
      <c r="E7" s="19"/>
      <c r="F7" s="18"/>
      <c r="G7" s="19"/>
      <c r="H7" s="18"/>
      <c r="I7" s="19"/>
      <c r="J7" s="18"/>
      <c r="K7" s="19"/>
      <c r="L7" s="1"/>
      <c r="M7" s="1"/>
      <c r="N7" s="1"/>
    </row>
    <row r="8" spans="1:14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 x14ac:dyDescent="0.45">
      <c r="A9" s="1"/>
      <c r="B9" s="22" t="str">
        <f>IF(Z40&gt;0.8,"🟢 Ótimo progresso geral.","🟡 Foco nas pendências para bater as metas.")</f>
        <v>🟡 Foco nas pendências para bater as metas.</v>
      </c>
      <c r="C9" s="19"/>
      <c r="D9" s="19"/>
      <c r="E9" s="19"/>
      <c r="F9" s="19"/>
      <c r="G9" s="19"/>
      <c r="H9" s="19"/>
      <c r="I9" s="19"/>
      <c r="J9" s="19"/>
      <c r="K9" s="19"/>
      <c r="L9" s="1"/>
      <c r="M9" s="1"/>
      <c r="N9" s="1"/>
    </row>
    <row r="10" spans="1:14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5">
      <c r="A11" s="1"/>
      <c r="B11" s="2" t="s">
        <v>8</v>
      </c>
      <c r="C11" s="1"/>
      <c r="D11" s="1"/>
      <c r="E11" s="1"/>
      <c r="F11" s="2" t="s">
        <v>9</v>
      </c>
      <c r="G11" s="1"/>
      <c r="H11" s="1"/>
      <c r="I11" s="1"/>
      <c r="J11" s="1"/>
      <c r="K11" s="1"/>
      <c r="L11" s="1"/>
      <c r="M11" s="1"/>
      <c r="N11" s="1"/>
    </row>
    <row r="12" spans="1:14" ht="18" customHeight="1" x14ac:dyDescent="0.45">
      <c r="A12" s="1"/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1"/>
      <c r="I12" s="1"/>
      <c r="J12" s="1"/>
      <c r="K12" s="1"/>
      <c r="L12" s="1"/>
      <c r="M12" s="1"/>
      <c r="N12" s="1"/>
    </row>
    <row r="13" spans="1:14" x14ac:dyDescent="0.45">
      <c r="A13" s="1"/>
      <c r="B13" s="4" t="s">
        <v>16</v>
      </c>
      <c r="C13" s="5">
        <v>0</v>
      </c>
      <c r="D13" s="5">
        <f>IF(G13&gt;=0,G13,0)</f>
        <v>75012</v>
      </c>
      <c r="E13" s="5">
        <f>IF(G13&lt;0,-G13,0)</f>
        <v>0</v>
      </c>
      <c r="F13" s="5">
        <f>G13</f>
        <v>75012</v>
      </c>
      <c r="G13" s="6">
        <f>SUM(OKRS!C6:C9)</f>
        <v>75012</v>
      </c>
      <c r="H13" s="1"/>
      <c r="I13" s="1"/>
      <c r="J13" s="1"/>
      <c r="K13" s="1"/>
      <c r="L13" s="1"/>
      <c r="M13" s="1"/>
      <c r="N13" s="1"/>
    </row>
    <row r="14" spans="1:14" x14ac:dyDescent="0.45">
      <c r="A14" s="1"/>
      <c r="B14" s="4" t="s">
        <v>17</v>
      </c>
      <c r="C14" s="5">
        <f>IF(G14&gt;=0,F13,F13+G14)</f>
        <v>27205</v>
      </c>
      <c r="D14" s="5">
        <f>IF(G14&gt;=0,G14,0)</f>
        <v>0</v>
      </c>
      <c r="E14" s="5">
        <f>IF(G14&lt;0,-G14,0)</f>
        <v>47807</v>
      </c>
      <c r="F14" s="5">
        <f>F13+G14</f>
        <v>27205</v>
      </c>
      <c r="G14" s="6">
        <f>-SUM(OKRS!D6:D9)</f>
        <v>-47807</v>
      </c>
      <c r="H14" s="1"/>
      <c r="I14" s="1"/>
      <c r="J14" s="1"/>
      <c r="K14" s="1"/>
      <c r="L14" s="1"/>
      <c r="M14" s="1"/>
      <c r="N14" s="1"/>
    </row>
    <row r="15" spans="1:14" x14ac:dyDescent="0.45">
      <c r="A15" s="1"/>
      <c r="B15" s="4" t="s">
        <v>18</v>
      </c>
      <c r="C15" s="5">
        <v>0</v>
      </c>
      <c r="D15" s="5">
        <f>IF(G15&gt;=0,G15,0)</f>
        <v>27205</v>
      </c>
      <c r="E15" s="5">
        <f>IF(G15&lt;0,-G15,0)</f>
        <v>0</v>
      </c>
      <c r="F15" s="5">
        <f>G15</f>
        <v>27205</v>
      </c>
      <c r="G15" s="6">
        <f>SUM(OKRS!C6:C9)-SUM(OKRS!D6:D9)</f>
        <v>27205</v>
      </c>
      <c r="H15" s="1"/>
      <c r="I15" s="1"/>
      <c r="J15" s="1"/>
      <c r="K15" s="1"/>
      <c r="L15" s="1"/>
      <c r="M15" s="1"/>
      <c r="N15" s="1"/>
    </row>
    <row r="16" spans="1:14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2" t="s">
        <v>19</v>
      </c>
      <c r="C25" s="1"/>
      <c r="D25" s="1"/>
      <c r="E25" s="1"/>
      <c r="F25" s="1"/>
      <c r="G25" s="1"/>
      <c r="H25" s="2" t="s">
        <v>20</v>
      </c>
      <c r="I25" s="1"/>
      <c r="J25" s="1"/>
      <c r="K25" s="1"/>
      <c r="L25" s="1"/>
      <c r="M25" s="1"/>
      <c r="N25" s="1"/>
    </row>
    <row r="26" spans="1:14" ht="18" customHeight="1" x14ac:dyDescent="0.45">
      <c r="A26" s="1"/>
      <c r="B26" s="3" t="s">
        <v>21</v>
      </c>
      <c r="C26" s="3" t="s">
        <v>22</v>
      </c>
      <c r="D26" s="3" t="s">
        <v>23</v>
      </c>
      <c r="E26" s="3" t="s">
        <v>24</v>
      </c>
      <c r="F26" s="3" t="s">
        <v>25</v>
      </c>
      <c r="G26" s="3" t="s">
        <v>26</v>
      </c>
      <c r="H26" s="3" t="s">
        <v>27</v>
      </c>
      <c r="I26" s="3" t="s">
        <v>28</v>
      </c>
      <c r="J26" s="3" t="s">
        <v>29</v>
      </c>
      <c r="K26" s="1"/>
      <c r="L26" s="1"/>
      <c r="M26" s="1"/>
      <c r="N26" s="1"/>
    </row>
    <row r="27" spans="1:14" x14ac:dyDescent="0.45">
      <c r="A27" s="1"/>
      <c r="B27" s="4" t="s">
        <v>30</v>
      </c>
      <c r="C27" s="7">
        <f>$Z$40*100</f>
        <v>49.613095238095241</v>
      </c>
      <c r="D27" s="8">
        <v>20</v>
      </c>
      <c r="E27" s="8">
        <v>28</v>
      </c>
      <c r="F27" s="8">
        <v>35</v>
      </c>
      <c r="G27" s="8">
        <v>42</v>
      </c>
      <c r="H27" s="8" t="s">
        <v>31</v>
      </c>
      <c r="I27" s="9">
        <f>OKRS!E6*100</f>
        <v>51.785714285714292</v>
      </c>
      <c r="J27" s="10" t="str">
        <f>IF(OR(I27="",NOT(ISNUMBER(I27))),"",REPT("▬",MAX(1,ROUND((I27-(MIN(I27:I30)))/MAX(0.000000001,(MAX(I27:I30))-(MIN(I27:I30)))*10,0))))</f>
        <v>▬▬▬▬▬▬</v>
      </c>
      <c r="K27" s="1"/>
      <c r="L27" s="1"/>
      <c r="M27" s="1"/>
      <c r="N27" s="1"/>
    </row>
    <row r="28" spans="1:14" x14ac:dyDescent="0.45">
      <c r="A28" s="1"/>
      <c r="B28" s="4" t="s">
        <v>32</v>
      </c>
      <c r="C28" s="7">
        <f ca="1">$Z$41</f>
        <v>3</v>
      </c>
      <c r="D28" s="8">
        <v>1</v>
      </c>
      <c r="E28" s="8">
        <v>2</v>
      </c>
      <c r="F28" s="8">
        <v>3</v>
      </c>
      <c r="G28" s="8">
        <v>4</v>
      </c>
      <c r="H28" s="8" t="s">
        <v>33</v>
      </c>
      <c r="I28" s="9">
        <f>OKRS!E7*100</f>
        <v>48.333333333333336</v>
      </c>
      <c r="J28" s="10" t="str">
        <f>IF(OR(I28="",NOT(ISNUMBER(I28))),"",REPT("▬",MAX(1,ROUND((I28-(MIN(I27:I30)))/MAX(0.000000001,(MAX(I27:I30))-(MIN(I27:I30)))*10,0))))</f>
        <v>▬▬▬▬▬</v>
      </c>
      <c r="K28" s="1"/>
      <c r="L28" s="1"/>
      <c r="M28" s="1"/>
      <c r="N28" s="1"/>
    </row>
    <row r="29" spans="1:14" x14ac:dyDescent="0.45">
      <c r="A29" s="1"/>
      <c r="B29" s="4" t="s">
        <v>34</v>
      </c>
      <c r="C29" s="7">
        <f>$Z$43*100</f>
        <v>66.666666666666657</v>
      </c>
      <c r="D29" s="8">
        <v>40</v>
      </c>
      <c r="E29" s="8">
        <v>48</v>
      </c>
      <c r="F29" s="8">
        <v>55</v>
      </c>
      <c r="G29" s="8">
        <v>60</v>
      </c>
      <c r="H29" s="8" t="s">
        <v>35</v>
      </c>
      <c r="I29" s="9">
        <f>OKRS!E8*100</f>
        <v>40</v>
      </c>
      <c r="J29" s="10" t="str">
        <f>IF(OR(I29="",NOT(ISNUMBER(I29))),"",REPT("▬",MAX(1,ROUND((I29-(MIN(I27:I30)))/MAX(0.000000001,(MAX(I27:I30))-(MIN(I27:I30)))*10,0))))</f>
        <v>▬</v>
      </c>
      <c r="K29" s="1"/>
      <c r="L29" s="1"/>
      <c r="M29" s="1"/>
      <c r="N29" s="1"/>
    </row>
    <row r="30" spans="1:14" x14ac:dyDescent="0.45">
      <c r="A30" s="1"/>
      <c r="B30" s="1"/>
      <c r="C30" s="1"/>
      <c r="D30" s="1"/>
      <c r="E30" s="1"/>
      <c r="F30" s="1"/>
      <c r="G30" s="1"/>
      <c r="H30" s="11" t="s">
        <v>36</v>
      </c>
      <c r="I30" s="9">
        <f>OKRS!E9*100</f>
        <v>58.333333333333336</v>
      </c>
      <c r="J30" s="12" t="str">
        <f>IF(OR(I30="",NOT(ISNUMBER(I30))),"",REPT("▬",MAX(1,ROUND((I30-(MIN(I27:I30)))/MAX(0.000000001,(MAX(I27:I30))-(MIN(I27:I30)))*10,0))))</f>
        <v>▬▬▬▬▬▬▬▬▬▬</v>
      </c>
      <c r="K30" s="1"/>
      <c r="L30" s="1"/>
      <c r="M30" s="1"/>
      <c r="N30" s="1"/>
    </row>
    <row r="31" spans="1:14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Z40">
        <f>AVERAGE(OKRS!E6:E9)</f>
        <v>0.49613095238095239</v>
      </c>
    </row>
    <row r="41" spans="1:26" x14ac:dyDescent="0.45">
      <c r="Z41">
        <f ca="1">COUNTIF(OKRS!H6:H9,"🟢 no ritmo")</f>
        <v>3</v>
      </c>
    </row>
    <row r="42" spans="1:26" x14ac:dyDescent="0.45">
      <c r="Z42">
        <f ca="1">COUNTIF(OKRS!H6:H9,"🔴 fora do ritmo")</f>
        <v>0</v>
      </c>
    </row>
    <row r="43" spans="1:26" x14ac:dyDescent="0.45">
      <c r="Z43">
        <f>AVERAGE(HABITOS!I6:I8)</f>
        <v>0.66666666666666663</v>
      </c>
    </row>
    <row r="44" spans="1:26" x14ac:dyDescent="0.45">
      <c r="Z44">
        <f>COUNTA(OKRS!A6:A9)</f>
        <v>4</v>
      </c>
    </row>
  </sheetData>
  <mergeCells count="19">
    <mergeCell ref="A1:L1"/>
    <mergeCell ref="D5:E5"/>
    <mergeCell ref="H5:I5"/>
    <mergeCell ref="A2:L2"/>
    <mergeCell ref="H6:I6"/>
    <mergeCell ref="J6:K6"/>
    <mergeCell ref="F5:G5"/>
    <mergeCell ref="D7:E7"/>
    <mergeCell ref="H7:I7"/>
    <mergeCell ref="J7:K7"/>
    <mergeCell ref="B6:C6"/>
    <mergeCell ref="B5:C5"/>
    <mergeCell ref="B7:C7"/>
    <mergeCell ref="J5:K5"/>
    <mergeCell ref="B9:K9"/>
    <mergeCell ref="F6:G6"/>
    <mergeCell ref="A3:L3"/>
    <mergeCell ref="F7:G7"/>
    <mergeCell ref="D6:E6"/>
  </mergeCells>
  <conditionalFormatting sqref="C27:C29">
    <cfRule type="dataBar" priority="3">
      <dataBar>
        <cfvo type="min"/>
        <cfvo type="max"/>
        <color rgb="FFC99C66"/>
      </dataBar>
    </cfRule>
  </conditionalFormatting>
  <conditionalFormatting sqref="G13:G15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/>
  <pageMargins left="0.25" right="0.25" top="0.3" bottom="0.3" header="0.1" footer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showGridLines="0" workbookViewId="0"/>
  </sheetViews>
  <sheetFormatPr defaultRowHeight="14.25" x14ac:dyDescent="0.45"/>
  <cols>
    <col min="1" max="1" width="30" customWidth="1"/>
    <col min="2" max="3" width="13" customWidth="1"/>
    <col min="4" max="4" width="11" customWidth="1"/>
    <col min="5" max="5" width="12" customWidth="1"/>
    <col min="6" max="6" width="13" customWidth="1"/>
    <col min="7" max="7" width="12" customWidth="1"/>
    <col min="8" max="8" width="16" customWidth="1"/>
  </cols>
  <sheetData>
    <row r="1" spans="1:10" ht="14" customHeight="1" x14ac:dyDescent="0.45">
      <c r="A1" s="32" t="s">
        <v>0</v>
      </c>
      <c r="B1" s="26"/>
      <c r="C1" s="26"/>
      <c r="D1" s="26"/>
      <c r="E1" s="26"/>
      <c r="F1" s="26"/>
      <c r="G1" s="26"/>
      <c r="H1" s="26"/>
      <c r="I1" s="1"/>
      <c r="J1" s="1"/>
    </row>
    <row r="2" spans="1:10" ht="28.05" customHeight="1" x14ac:dyDescent="0.45">
      <c r="A2" s="28" t="s">
        <v>37</v>
      </c>
      <c r="B2" s="26"/>
      <c r="C2" s="26"/>
      <c r="D2" s="26"/>
      <c r="E2" s="26"/>
      <c r="F2" s="26"/>
      <c r="G2" s="26"/>
      <c r="H2" s="26"/>
      <c r="I2" s="1"/>
      <c r="J2" s="1"/>
    </row>
    <row r="3" spans="1:10" ht="14" customHeight="1" x14ac:dyDescent="0.45">
      <c r="A3" s="25" t="s">
        <v>38</v>
      </c>
      <c r="B3" s="26"/>
      <c r="C3" s="26"/>
      <c r="D3" s="26"/>
      <c r="E3" s="26"/>
      <c r="F3" s="26"/>
      <c r="G3" s="26"/>
      <c r="H3" s="26"/>
      <c r="I3" s="1"/>
      <c r="J3" s="1"/>
    </row>
    <row r="4" spans="1:10" x14ac:dyDescent="0.4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customHeight="1" x14ac:dyDescent="0.45">
      <c r="A5" s="3" t="s">
        <v>39</v>
      </c>
      <c r="B5" s="3" t="s">
        <v>40</v>
      </c>
      <c r="C5" s="3" t="s">
        <v>41</v>
      </c>
      <c r="D5" s="3" t="s">
        <v>22</v>
      </c>
      <c r="E5" s="3" t="s">
        <v>42</v>
      </c>
      <c r="F5" s="3" t="s">
        <v>43</v>
      </c>
      <c r="G5" s="3" t="s">
        <v>44</v>
      </c>
      <c r="H5" s="3" t="s">
        <v>45</v>
      </c>
      <c r="I5" s="1"/>
      <c r="J5" s="1"/>
    </row>
    <row r="6" spans="1:10" x14ac:dyDescent="0.45">
      <c r="A6" s="13" t="s">
        <v>46</v>
      </c>
      <c r="B6" s="13">
        <v>12000</v>
      </c>
      <c r="C6" s="13">
        <v>40000</v>
      </c>
      <c r="D6" s="13">
        <v>26500</v>
      </c>
      <c r="E6" s="14">
        <f>IFERROR((D6-B6)/(C6-B6),0)</f>
        <v>0.5178571428571429</v>
      </c>
      <c r="F6" s="15">
        <v>46375</v>
      </c>
      <c r="G6" s="16">
        <f>IFERROR((D6-B6)/40,0)</f>
        <v>362.5</v>
      </c>
      <c r="H6" s="13" t="str">
        <f ca="1">IF((D6+G6*(F6-TODAY()))&gt;=C6,"🟢 no ritmo",IF((D6+G6*(F6-TODAY()))&gt;=C6*0.8,"🟡 risco","🔴 fora do ritmo"))</f>
        <v>🟢 no ritmo</v>
      </c>
      <c r="I6" s="1"/>
      <c r="J6" s="1"/>
    </row>
    <row r="7" spans="1:10" x14ac:dyDescent="0.45">
      <c r="A7" s="13" t="s">
        <v>47</v>
      </c>
      <c r="B7" s="13">
        <v>0</v>
      </c>
      <c r="C7" s="13">
        <v>30000</v>
      </c>
      <c r="D7" s="13">
        <v>14500</v>
      </c>
      <c r="E7" s="14">
        <f>IFERROR((D7-B7)/(C7-B7),0)</f>
        <v>0.48333333333333334</v>
      </c>
      <c r="F7" s="15">
        <v>46345</v>
      </c>
      <c r="G7" s="16">
        <f>IFERROR((D7-B7)/40,0)</f>
        <v>362.5</v>
      </c>
      <c r="H7" s="13" t="str">
        <f ca="1">IF((D7+G7*(F7-TODAY()))&gt;=C7,"🟢 no ritmo",IF((D7+G7*(F7-TODAY()))&gt;=C7*0.8,"🟡 risco","🔴 fora do ritmo"))</f>
        <v>🟢 no ritmo</v>
      </c>
      <c r="I7" s="1"/>
      <c r="J7" s="1"/>
    </row>
    <row r="8" spans="1:10" x14ac:dyDescent="0.45">
      <c r="A8" s="13" t="s">
        <v>48</v>
      </c>
      <c r="B8" s="13">
        <v>8000</v>
      </c>
      <c r="C8" s="13">
        <v>5000</v>
      </c>
      <c r="D8" s="13">
        <v>6800</v>
      </c>
      <c r="E8" s="14">
        <f>IFERROR((D8-B8)/(C8-B8),0)</f>
        <v>0.4</v>
      </c>
      <c r="F8" s="15">
        <v>46315</v>
      </c>
      <c r="G8" s="16">
        <f>IFERROR((D8-B8)/40,0)</f>
        <v>-30</v>
      </c>
      <c r="H8" s="13" t="str">
        <f ca="1">IF((D8+G8*(F8-TODAY()))&gt;=C8,"🟢 no ritmo",IF((D8+G8*(F8-TODAY()))&gt;=C8*0.8,"🟡 risco","🔴 fora do ritmo"))</f>
        <v>🟡 risco</v>
      </c>
      <c r="I8" s="1"/>
      <c r="J8" s="1"/>
    </row>
    <row r="9" spans="1:10" x14ac:dyDescent="0.45">
      <c r="A9" s="13" t="s">
        <v>49</v>
      </c>
      <c r="B9" s="13">
        <v>0</v>
      </c>
      <c r="C9" s="13">
        <v>12</v>
      </c>
      <c r="D9" s="13">
        <v>7</v>
      </c>
      <c r="E9" s="14">
        <f>IFERROR((D9-B9)/(C9-B9),0)</f>
        <v>0.58333333333333337</v>
      </c>
      <c r="F9" s="15">
        <v>46385</v>
      </c>
      <c r="G9" s="16">
        <f>IFERROR((D9-B9)/40,0)</f>
        <v>0.17499999999999999</v>
      </c>
      <c r="H9" s="13" t="str">
        <f ca="1">IF((D9+G9*(F9-TODAY()))&gt;=C9,"🟢 no ritmo",IF((D9+G9*(F9-TODAY()))&gt;=C9*0.8,"🟡 risco","🔴 fora do ritmo"))</f>
        <v>🟢 no ritmo</v>
      </c>
      <c r="I9" s="1"/>
      <c r="J9" s="1"/>
    </row>
    <row r="10" spans="1:10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3">
    <mergeCell ref="A3:H3"/>
    <mergeCell ref="A2:H2"/>
    <mergeCell ref="A1:H1"/>
  </mergeCells>
  <conditionalFormatting sqref="E6:E9">
    <cfRule type="dataBar" priority="1">
      <dataBar>
        <cfvo type="num" val="0"/>
        <cfvo type="num" val="1"/>
        <color rgb="FF2E9E5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showGridLines="0" workbookViewId="0"/>
  </sheetViews>
  <sheetFormatPr defaultRowHeight="14.25" x14ac:dyDescent="0.45"/>
  <sheetData>
    <row r="1" spans="1:14" ht="14" customHeight="1" x14ac:dyDescent="0.45">
      <c r="A1" s="32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</row>
    <row r="2" spans="1:14" ht="28.05" customHeight="1" x14ac:dyDescent="0.45">
      <c r="A2" s="28" t="s">
        <v>50</v>
      </c>
      <c r="B2" s="26"/>
      <c r="C2" s="26"/>
      <c r="D2" s="26"/>
      <c r="E2" s="26"/>
      <c r="F2" s="26"/>
      <c r="G2" s="26"/>
      <c r="H2" s="26"/>
      <c r="I2" s="26"/>
      <c r="J2" s="26"/>
      <c r="K2" s="1"/>
      <c r="L2" s="1"/>
      <c r="M2" s="1"/>
      <c r="N2" s="1"/>
    </row>
    <row r="3" spans="1:14" ht="14" customHeight="1" x14ac:dyDescent="0.45">
      <c r="A3" s="25" t="s">
        <v>51</v>
      </c>
      <c r="B3" s="26"/>
      <c r="C3" s="26"/>
      <c r="D3" s="26"/>
      <c r="E3" s="26"/>
      <c r="F3" s="26"/>
      <c r="G3" s="26"/>
      <c r="H3" s="26"/>
      <c r="I3" s="26"/>
      <c r="J3" s="26"/>
      <c r="K3" s="1"/>
      <c r="L3" s="1"/>
      <c r="M3" s="1"/>
      <c r="N3" s="1"/>
    </row>
    <row r="4" spans="1:14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 x14ac:dyDescent="0.45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1"/>
      <c r="L5" s="1"/>
      <c r="M5" s="1"/>
      <c r="N5" s="1"/>
    </row>
    <row r="6" spans="1:14" x14ac:dyDescent="0.45">
      <c r="A6" s="17" t="s">
        <v>62</v>
      </c>
      <c r="B6" s="13">
        <v>1</v>
      </c>
      <c r="C6" s="13">
        <v>1</v>
      </c>
      <c r="D6" s="13">
        <v>0</v>
      </c>
      <c r="E6" s="13">
        <v>1</v>
      </c>
      <c r="F6" s="13">
        <v>1</v>
      </c>
      <c r="G6" s="13">
        <v>0</v>
      </c>
      <c r="H6" s="13">
        <v>1</v>
      </c>
      <c r="I6" s="14">
        <f>COUNTIF(B6:H6,1)/7</f>
        <v>0.7142857142857143</v>
      </c>
      <c r="J6" s="13" t="str">
        <f>IF(I6&gt;=0.8,"🔥 forte","⚠ frágil")</f>
        <v>⚠ frágil</v>
      </c>
      <c r="K6" s="1"/>
      <c r="L6" s="1"/>
      <c r="M6" s="1"/>
      <c r="N6" s="1"/>
    </row>
    <row r="7" spans="1:14" x14ac:dyDescent="0.45">
      <c r="A7" s="17" t="s">
        <v>63</v>
      </c>
      <c r="B7" s="13">
        <v>1</v>
      </c>
      <c r="C7" s="13">
        <v>0</v>
      </c>
      <c r="D7" s="13">
        <v>1</v>
      </c>
      <c r="E7" s="13">
        <v>1</v>
      </c>
      <c r="F7" s="13">
        <v>0</v>
      </c>
      <c r="G7" s="13">
        <v>1</v>
      </c>
      <c r="H7" s="13">
        <v>1</v>
      </c>
      <c r="I7" s="14">
        <f>COUNTIF(B7:H7,1)/7</f>
        <v>0.7142857142857143</v>
      </c>
      <c r="J7" s="13" t="str">
        <f>IF(I7&gt;=0.8,"🔥 forte","⚠ frágil")</f>
        <v>⚠ frágil</v>
      </c>
      <c r="K7" s="1"/>
      <c r="L7" s="1"/>
      <c r="M7" s="1"/>
      <c r="N7" s="1"/>
    </row>
    <row r="8" spans="1:14" x14ac:dyDescent="0.45">
      <c r="A8" s="17" t="s">
        <v>64</v>
      </c>
      <c r="B8" s="13">
        <v>1</v>
      </c>
      <c r="C8" s="13">
        <v>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4">
        <f>COUNTIF(B8:H8,1)/7</f>
        <v>0.5714285714285714</v>
      </c>
      <c r="J8" s="13" t="str">
        <f>IF(I8&gt;=0.8,"🔥 forte","⚠ frágil")</f>
        <v>⚠ frágil</v>
      </c>
      <c r="K8" s="1"/>
      <c r="L8" s="1"/>
      <c r="M8" s="1"/>
      <c r="N8" s="1"/>
    </row>
    <row r="9" spans="1:14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3">
    <mergeCell ref="A1:J1"/>
    <mergeCell ref="A3:J3"/>
    <mergeCell ref="A2:J2"/>
  </mergeCells>
  <conditionalFormatting sqref="I6:I8">
    <cfRule type="dataBar" priority="1">
      <dataBar>
        <cfvo type="num" val="0"/>
        <cfvo type="num" val="1"/>
        <color rgb="FFC99C6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DASHBOARD</vt:lpstr>
      <vt:lpstr>OKRS</vt:lpstr>
      <vt:lpstr>HABITOS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RINALDI</cp:lastModifiedBy>
  <dcterms:created xsi:type="dcterms:W3CDTF">2026-07-22T20:17:02Z</dcterms:created>
  <dcterms:modified xsi:type="dcterms:W3CDTF">2026-08-04T00:50:06Z</dcterms:modified>
</cp:coreProperties>
</file>