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KRS" sheetId="2" state="visible" r:id="rId2"/>
    <sheet xmlns:r="http://schemas.openxmlformats.org/officeDocument/2006/relationships" name="HABITOS" sheetId="3" state="visible" r:id="rId3"/>
  </sheets>
  <definedNames>
    <definedName name="_xlnm.Print_Area" localSheetId="0">'DASHBOARD'!$A$1:$R$60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"/>
    <numFmt numFmtId="166" formatCode="0.0"/>
    <numFmt numFmtId="167" formatCode="#,##0;(#,##0);&quot;—&quot;"/>
    <numFmt numFmtId="168" formatCode="#,##0.0;(#,##0.0);&quot;—&quot;"/>
  </numFmts>
  <fonts count="22">
    <font>
      <name val="Calibri"/>
      <family val="2"/>
      <color theme="1"/>
      <sz val="11"/>
      <scheme val="minor"/>
    </font>
    <font>
      <name val="Aptos Narrow"/>
      <b val="1"/>
      <color rgb="00C99C66"/>
      <sz val="9"/>
    </font>
    <font>
      <name val="Aptos Narrow"/>
      <b val="1"/>
      <color rgb="00F3ECDD"/>
      <sz val="20"/>
    </font>
    <font>
      <name val="Aptos Narrow"/>
      <i val="1"/>
      <color rgb="008A9691"/>
      <sz val="10"/>
    </font>
    <font>
      <name val="Aptos Narrow"/>
      <b val="1"/>
      <color rgb="00F3ECDD"/>
      <sz val="9"/>
    </font>
    <font>
      <name val="Aptos Narrow"/>
      <color rgb="00F3ECDD"/>
      <sz val="10"/>
    </font>
    <font>
      <name val="Aptos Narrow"/>
      <color rgb="008A9691"/>
      <sz val="10"/>
    </font>
    <font>
      <name val="Aptos Narrow"/>
      <b val="1"/>
      <color rgb="00C99C66"/>
      <sz val="10"/>
    </font>
    <font>
      <name val="Aptos Narrow"/>
      <color rgb="0043D07F"/>
      <sz val="10"/>
    </font>
    <font>
      <name val="Aptos Narrow"/>
      <color rgb="00F3ECDD"/>
      <sz val="9"/>
    </font>
    <font>
      <name val="Aptos Narrow"/>
      <color rgb="000E1512"/>
      <sz val="9"/>
    </font>
    <font>
      <name val="Aptos Narrow"/>
      <b val="1"/>
      <color rgb="008A9691"/>
      <sz val="9"/>
    </font>
    <font>
      <name val="Aptos Narrow"/>
      <b val="1"/>
      <color rgb="00C99C66"/>
      <sz val="18"/>
    </font>
    <font>
      <name val="Aptos Narrow"/>
      <i val="1"/>
      <color rgb="008A9691"/>
      <sz val="8"/>
    </font>
    <font>
      <name val="Aptos Narrow"/>
      <b val="1"/>
      <color rgb="0043D07F"/>
      <sz val="18"/>
    </font>
    <font>
      <name val="Aptos Narrow"/>
      <b val="1"/>
      <color rgb="00D9534F"/>
      <sz val="18"/>
    </font>
    <font>
      <name val="Aptos Narrow"/>
      <color rgb="008A9691"/>
      <sz val="8"/>
    </font>
    <font>
      <name val="Aptos Narrow"/>
      <color rgb="008A9691"/>
      <sz val="7"/>
    </font>
    <font>
      <name val="Aptos Narrow"/>
      <color rgb="0043D07F"/>
      <sz val="11"/>
    </font>
    <font>
      <name val="Aptos Narrow"/>
      <color rgb="00C99C66"/>
      <sz val="8"/>
    </font>
    <font>
      <name val="Aptos Narrow"/>
      <b val="1"/>
      <color rgb="008A9691"/>
      <sz val="8"/>
    </font>
    <font>
      <name val="Aptos Narrow"/>
      <color rgb="0043D07F"/>
      <sz val="8"/>
    </font>
  </fonts>
  <fills count="5">
    <fill>
      <patternFill/>
    </fill>
    <fill>
      <patternFill patternType="gray125"/>
    </fill>
    <fill>
      <patternFill patternType="solid">
        <fgColor rgb="000E1512"/>
      </patternFill>
    </fill>
    <fill>
      <patternFill patternType="solid">
        <fgColor rgb="0014211B"/>
      </patternFill>
    </fill>
    <fill>
      <patternFill patternType="solid">
        <fgColor rgb="001B2C24"/>
      </patternFill>
    </fill>
  </fills>
  <borders count="2">
    <border>
      <left/>
      <right/>
      <top/>
      <bottom/>
      <diagonal/>
    </border>
    <border>
      <left style="thin">
        <color rgb="0024382E"/>
      </left>
      <right style="thin">
        <color rgb="0024382E"/>
      </right>
      <top style="thin">
        <color rgb="0024382E"/>
      </top>
      <bottom style="thin">
        <color rgb="0024382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1" fillId="4" borderId="1" applyAlignment="1" pivotButton="0" quotePrefix="0" xfId="0">
      <alignment horizontal="center" vertical="center"/>
    </xf>
    <xf numFmtId="0" fontId="0" fillId="4" borderId="1" pivotButton="0" quotePrefix="0" xfId="0"/>
    <xf numFmtId="9" fontId="12" fillId="4" borderId="1" applyAlignment="1" pivotButton="0" quotePrefix="0" xfId="0">
      <alignment horizontal="center" vertical="center"/>
    </xf>
    <xf numFmtId="1" fontId="14" fillId="4" borderId="1" applyAlignment="1" pivotButton="0" quotePrefix="0" xfId="0">
      <alignment horizontal="center" vertical="center"/>
    </xf>
    <xf numFmtId="1" fontId="15" fillId="4" borderId="1" applyAlignment="1" pivotButton="0" quotePrefix="0" xfId="0">
      <alignment horizontal="center" vertical="center"/>
    </xf>
    <xf numFmtId="9" fontId="14" fillId="4" borderId="1" applyAlignment="1" pivotButton="0" quotePrefix="0" xfId="0">
      <alignment horizontal="center" vertical="center"/>
    </xf>
    <xf numFmtId="1" fontId="12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 vertical="center" wrapText="1"/>
    </xf>
    <xf numFmtId="0" fontId="9" fillId="2" borderId="1" pivotButton="0" quotePrefix="0" xfId="0"/>
    <xf numFmtId="167" fontId="16" fillId="2" borderId="1" pivotButton="0" quotePrefix="0" xfId="0"/>
    <xf numFmtId="167" fontId="1" fillId="2" borderId="1" pivotButton="0" quotePrefix="0" xfId="0"/>
    <xf numFmtId="0" fontId="9" fillId="0" borderId="1" pivotButton="0" quotePrefix="0" xfId="0"/>
    <xf numFmtId="168" fontId="7" fillId="0" borderId="1" pivotButton="0" quotePrefix="0" xfId="0"/>
    <xf numFmtId="1" fontId="17" fillId="0" borderId="1" pivotButton="0" quotePrefix="0" xfId="0"/>
    <xf numFmtId="0" fontId="18" fillId="0" borderId="1" applyAlignment="1" pivotButton="0" quotePrefix="0" xfId="0">
      <alignment horizontal="center" vertical="center"/>
    </xf>
    <xf numFmtId="0" fontId="20" fillId="3" borderId="0" pivotButton="0" quotePrefix="0" xfId="0"/>
    <xf numFmtId="0" fontId="16" fillId="2" borderId="1" pivotButton="0" quotePrefix="0" xfId="0"/>
    <xf numFmtId="168" fontId="19" fillId="2" borderId="1" pivotButton="0" quotePrefix="0" xfId="0"/>
    <xf numFmtId="0" fontId="21" fillId="2" borderId="1" pivotButton="0" quotePrefix="0" xfId="0"/>
    <xf numFmtId="0" fontId="10" fillId="0" borderId="0" pivotButton="0" quotePrefix="0" xfId="0"/>
    <xf numFmtId="0" fontId="5" fillId="2" borderId="1" pivotButton="0" quotePrefix="0" xfId="0"/>
    <xf numFmtId="0" fontId="6" fillId="2" borderId="1" pivotButton="0" quotePrefix="0" xfId="0"/>
    <xf numFmtId="0" fontId="7" fillId="2" borderId="1" pivotButton="0" quotePrefix="0" xfId="0"/>
    <xf numFmtId="9" fontId="8" fillId="2" borderId="1" pivotButton="0" quotePrefix="0" xfId="0"/>
    <xf numFmtId="165" fontId="6" fillId="2" borderId="1" pivotButton="0" quotePrefix="0" xfId="0"/>
    <xf numFmtId="166" fontId="6" fillId="2" borderId="1" pivotButton="0" quotePrefix="0" xfId="0"/>
    <xf numFmtId="0" fontId="4" fillId="2" borderId="1" pivotButton="0" quotePrefix="0" xfId="0"/>
    <xf numFmtId="0" fontId="8" fillId="2" borderId="1" applyAlignment="1" pivotButton="0" quotePrefix="0" xfId="0">
      <alignment horizontal="center" vertical="center"/>
    </xf>
    <xf numFmtId="9" fontId="7" fillId="2" borderId="1" pivotButton="0" quotePrefix="0" xfId="0"/>
  </cellXfs>
  <cellStyles count="1">
    <cellStyle name="Normal" xfId="0" builtinId="0" hidden="0"/>
  </cellStyles>
  <dxfs count="3">
    <dxf>
      <font>
        <name val="Aptos Narrow"/>
        <b val="1"/>
        <color rgb="0043D07F"/>
        <sz val="9"/>
      </font>
    </dxf>
    <dxf>
      <font>
        <name val="Aptos Narrow"/>
        <b val="1"/>
        <color rgb="00D9534F"/>
        <sz val="9"/>
      </font>
    </dxf>
    <dxf>
      <font>
        <name val="Aptos Narrow"/>
        <b val="1"/>
        <color rgb="00FFFFFF"/>
        <sz val="9"/>
      </font>
      <fill>
        <patternFill patternType="solid">
          <fgColor rgb="00D9534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de progresso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'OKRS'!E5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'OKRS'!$A$6:$A$11</f>
            </numRef>
          </cat>
          <val>
            <numRef>
              <f>'OKRS'!$E$6:$E$11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8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semanal</a:t>
            </a:r>
          </a:p>
        </rich>
      </tx>
    </title>
    <plotArea>
      <radarChart>
        <radarStyle val="filled"/>
        <ser>
          <idx val="0"/>
          <order val="0"/>
          <tx>
            <strRef>
              <f>'HABITOS'!I5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'HABITOS'!$A$6:$A$11</f>
            </numRef>
          </cat>
          <val>
            <numRef>
              <f>'HABITOS'!$I$6:$I$11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Gap até a meta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'DASHBOARD'!C25</f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cat>
            <numRef>
              <f>'DASHBOARD'!$B$26:$B$28</f>
            </numRef>
          </cat>
          <val>
            <numRef>
              <f>'DASHBOARD'!$C$26:$C$28</f>
            </numRef>
          </val>
        </ser>
        <ser>
          <idx val="1"/>
          <order val="1"/>
          <tx>
            <strRef>
              <f>'DASHBOARD'!D25</f>
            </strRef>
          </tx>
          <spPr>
            <a:solidFill xmlns:a="http://schemas.openxmlformats.org/drawingml/2006/main">
              <a:srgbClr val="2E9E5B"/>
            </a:solidFill>
            <a:ln xmlns:a="http://schemas.openxmlformats.org/drawingml/2006/main">
              <a:prstDash val="solid"/>
            </a:ln>
          </spPr>
          <cat>
            <numRef>
              <f>'DASHBOARD'!$B$26:$B$28</f>
            </numRef>
          </cat>
          <val>
            <numRef>
              <f>'DASHBOARD'!$D$26:$D$28</f>
            </numRef>
          </val>
        </ser>
        <ser>
          <idx val="2"/>
          <order val="2"/>
          <tx>
            <strRef>
              <f>'DASHBOARD'!E25</f>
            </strRef>
          </tx>
          <spPr>
            <a:solidFill xmlns:a="http://schemas.openxmlformats.org/drawingml/2006/main">
              <a:srgbClr val="D9534F"/>
            </a:solidFill>
            <a:ln xmlns:a="http://schemas.openxmlformats.org/drawingml/2006/main">
              <a:prstDash val="solid"/>
            </a:ln>
          </spPr>
          <cat>
            <numRef>
              <f>'DASHBOARD'!$B$26:$B$28</f>
            </numRef>
          </cat>
          <val>
            <numRef>
              <f>'DASHBOARD'!$E$26:$E$28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'DASHBOARD'!C35</f>
            </strRef>
          </tx>
          <spPr>
            <a:ln xmlns:a="http://schemas.openxmlformats.org/drawingml/2006/main" w="15000">
              <a:solidFill>
                <a:srgbClr val="C99C6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'DASHBOARD'!$B$36:$B$41</f>
            </numRef>
          </cat>
          <val>
            <numRef>
              <f>'DASHBOARD'!$C$36:$C$41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36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23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33</row>
      <rowOff>0</rowOff>
    </from>
    <ext cx="3960000" cy="14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5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" customWidth="1" min="12" max="12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30" customHeight="1">
      <c r="A2" s="3" t="inlineStr">
        <is>
          <t>Painel OKR &amp; Hábitos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18" customHeight="1">
      <c r="A3" s="4" t="inlineStr">
        <is>
          <t>Progresso, previsão de atingimento e consistência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15" customHeight="1">
      <c r="A5" s="2" t="n"/>
      <c r="B5" s="5" t="inlineStr">
        <is>
          <t>PROGRESSO MÉDIO</t>
        </is>
      </c>
      <c r="C5" s="6" t="n"/>
      <c r="D5" s="5" t="inlineStr">
        <is>
          <t>OKRS NO RITMO</t>
        </is>
      </c>
      <c r="E5" s="6" t="n"/>
      <c r="F5" s="5" t="inlineStr">
        <is>
          <t>OKRS EM RISCO</t>
        </is>
      </c>
      <c r="G5" s="6" t="n"/>
      <c r="H5" s="5" t="inlineStr">
        <is>
          <t>CONSISTÊNCIA HÁBITOS</t>
        </is>
      </c>
      <c r="I5" s="6" t="n"/>
      <c r="J5" s="5" t="inlineStr">
        <is>
          <t>OBJETIVOS ATIVOS</t>
        </is>
      </c>
      <c r="K5" s="6" t="n"/>
      <c r="L5" s="2" t="n"/>
    </row>
    <row r="6" ht="26" customHeight="1">
      <c r="A6" s="2" t="n"/>
      <c r="B6" s="7">
        <f>Z40</f>
        <v/>
      </c>
      <c r="C6" s="6" t="n"/>
      <c r="D6" s="8">
        <f>Z41</f>
        <v/>
      </c>
      <c r="E6" s="6" t="n"/>
      <c r="F6" s="9">
        <f>Z42</f>
        <v/>
      </c>
      <c r="G6" s="6" t="n"/>
      <c r="H6" s="10">
        <f>Z43</f>
        <v/>
      </c>
      <c r="I6" s="6" t="n"/>
      <c r="J6" s="11">
        <f>Z44</f>
        <v/>
      </c>
      <c r="K6" s="6" t="n"/>
      <c r="L6" s="2" t="n"/>
    </row>
    <row r="7" ht="14" customHeight="1">
      <c r="A7" s="2" t="n"/>
      <c r="B7" s="12" t="inlineStr"/>
      <c r="C7" s="6" t="n"/>
      <c r="D7" s="12" t="inlineStr">
        <is>
          <t>atingem a meta no prazo</t>
        </is>
      </c>
      <c r="E7" s="6" t="n"/>
      <c r="F7" s="12" t="inlineStr"/>
      <c r="G7" s="6" t="n"/>
      <c r="H7" s="12" t="inlineStr"/>
      <c r="I7" s="6" t="n"/>
      <c r="J7" s="12" t="inlineStr"/>
      <c r="K7" s="6" t="n"/>
      <c r="L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</row>
    <row r="9">
      <c r="A9" s="2" t="n"/>
      <c r="B9" s="13" t="inlineStr">
        <is>
          <t>PROGRESSO POR OBJETIVO</t>
        </is>
      </c>
      <c r="C9" s="2" t="n"/>
      <c r="D9" s="2" t="n"/>
      <c r="E9" s="2" t="n"/>
      <c r="F9" s="2" t="n"/>
      <c r="G9" s="13" t="inlineStr">
        <is>
          <t>CONSISTÊNCIA DOS HÁBITOS</t>
        </is>
      </c>
      <c r="H9" s="2" t="n"/>
      <c r="I9" s="2" t="n"/>
      <c r="J9" s="2" t="n"/>
      <c r="K9" s="2" t="n"/>
      <c r="L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13" t="inlineStr">
        <is>
          <t>Cascata · gap dos top 4 OKRs</t>
        </is>
      </c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N24" s="14" t="inlineStr">
        <is>
          <t>MINI-SPARKLINES</t>
        </is>
      </c>
    </row>
    <row r="25" ht="26" customHeight="1">
      <c r="A25" s="2" t="n"/>
      <c r="B25" s="15" t="inlineStr">
        <is>
          <t>Etapa</t>
        </is>
      </c>
      <c r="C25" s="15" t="inlineStr">
        <is>
          <t>Base</t>
        </is>
      </c>
      <c r="D25" s="15" t="inlineStr">
        <is>
          <t>Alta</t>
        </is>
      </c>
      <c r="E25" s="15" t="inlineStr">
        <is>
          <t>Baixa</t>
        </is>
      </c>
      <c r="F25" s="15" t="inlineStr">
        <is>
          <t>Total</t>
        </is>
      </c>
      <c r="G25" s="15" t="inlineStr">
        <is>
          <t>Δ</t>
        </is>
      </c>
      <c r="H25" s="2" t="n"/>
      <c r="I25" s="2" t="n"/>
      <c r="J25" s="2" t="n"/>
      <c r="K25" s="2" t="n"/>
      <c r="L25" s="2" t="n"/>
      <c r="N25" s="15" t="inlineStr">
        <is>
          <t>Indicador</t>
        </is>
      </c>
      <c r="O25" s="15" t="inlineStr">
        <is>
          <t>Atual</t>
        </is>
      </c>
      <c r="P25" s="15" t="inlineStr">
        <is>
          <t>S1</t>
        </is>
      </c>
      <c r="Q25" s="15" t="inlineStr">
        <is>
          <t>S2</t>
        </is>
      </c>
      <c r="R25" s="15" t="inlineStr">
        <is>
          <t>S3</t>
        </is>
      </c>
      <c r="S25" s="15" t="inlineStr">
        <is>
          <t>S4</t>
        </is>
      </c>
      <c r="T25" s="15" t="inlineStr">
        <is>
          <t>S5</t>
        </is>
      </c>
      <c r="U25" s="15" t="inlineStr">
        <is>
          <t>S6</t>
        </is>
      </c>
      <c r="V25" s="15" t="inlineStr">
        <is>
          <t>Spark</t>
        </is>
      </c>
    </row>
    <row r="26">
      <c r="A26" s="2" t="n"/>
      <c r="B26" s="16" t="inlineStr">
        <is>
          <t>Meta total</t>
        </is>
      </c>
      <c r="C26" s="17" t="n">
        <v>0</v>
      </c>
      <c r="D26" s="17">
        <f>IF(G26&gt;=0,G26,0)</f>
        <v/>
      </c>
      <c r="E26" s="17">
        <f>IF(G26&lt;0,-G26,0)</f>
        <v/>
      </c>
      <c r="F26" s="17">
        <f>G26</f>
        <v/>
      </c>
      <c r="G26" s="18">
        <f>SUM(OKRS!C6:C9)</f>
        <v/>
      </c>
      <c r="H26" s="2" t="n"/>
      <c r="I26" s="2" t="n"/>
      <c r="J26" s="2" t="n"/>
      <c r="K26" s="2" t="n"/>
      <c r="L26" s="2" t="n"/>
      <c r="N26" s="19" t="inlineStr">
        <is>
          <t>Progresso %</t>
        </is>
      </c>
      <c r="O26" s="20">
        <f>$Z$40*100</f>
        <v/>
      </c>
      <c r="P26" s="21" t="n">
        <v>20</v>
      </c>
      <c r="Q26" s="21" t="n">
        <v>28</v>
      </c>
      <c r="R26" s="21" t="n">
        <v>35</v>
      </c>
      <c r="S26" s="21" t="n">
        <v>42</v>
      </c>
      <c r="T26" s="21" t="n">
        <v>48</v>
      </c>
      <c r="U26" s="21">
        <f>$Z$40*100</f>
        <v/>
      </c>
      <c r="V26" s="22">
        <f>IF(P26=""," ",MID("▁▂▃▄▅▆▇█",MAX(1,MIN(8,ROUND((P26-(MIN(P26:U26)))/MAX(1E-9,(MAX(P26:U26))-(MIN(P26:U26)))*7+1,0))),1))&amp;IF(Q26=""," ",MID("▁▂▃▄▅▆▇█",MAX(1,MIN(8,ROUND((Q26-(MIN(P26:U26)))/MAX(1E-9,(MAX(P26:U26))-(MIN(P26:U26)))*7+1,0))),1))&amp;IF(R26=""," ",MID("▁▂▃▄▅▆▇█",MAX(1,MIN(8,ROUND((R26-(MIN(P26:U26)))/MAX(1E-9,(MAX(P26:U26))-(MIN(P26:U26)))*7+1,0))),1))&amp;IF(S26=""," ",MID("▁▂▃▄▅▆▇█",MAX(1,MIN(8,ROUND((S26-(MIN(P26:U26)))/MAX(1E-9,(MAX(P26:U26))-(MIN(P26:U26)))*7+1,0))),1))&amp;IF(T26=""," ",MID("▁▂▃▄▅▆▇█",MAX(1,MIN(8,ROUND((T26-(MIN(P26:U26)))/MAX(1E-9,(MAX(P26:U26))-(MIN(P26:U26)))*7+1,0))),1))&amp;IF(U26=""," ",MID("▁▂▃▄▅▆▇█",MAX(1,MIN(8,ROUND((U26-(MIN(P26:U26)))/MAX(1E-9,(MAX(P26:U26))-(MIN(P26:U26)))*7+1,0))),1))</f>
        <v/>
      </c>
    </row>
    <row r="27">
      <c r="A27" s="2" t="n"/>
      <c r="B27" s="16" t="inlineStr">
        <is>
          <t>− Já feito</t>
        </is>
      </c>
      <c r="C27" s="17">
        <f>IF(G27&gt;=0,F26,F26+G27)</f>
        <v/>
      </c>
      <c r="D27" s="17">
        <f>IF(G27&gt;=0,G27,0)</f>
        <v/>
      </c>
      <c r="E27" s="17">
        <f>IF(G27&lt;0,-G27,0)</f>
        <v/>
      </c>
      <c r="F27" s="17">
        <f>F26+G27</f>
        <v/>
      </c>
      <c r="G27" s="18">
        <f>-SUM(OKRS!D6:D9)</f>
        <v/>
      </c>
      <c r="H27" s="2" t="n"/>
      <c r="I27" s="2" t="n"/>
      <c r="J27" s="2" t="n"/>
      <c r="K27" s="2" t="n"/>
      <c r="L27" s="2" t="n"/>
      <c r="N27" s="19" t="inlineStr">
        <is>
          <t>No ritmo</t>
        </is>
      </c>
      <c r="O27" s="20">
        <f>$Z$41</f>
        <v/>
      </c>
      <c r="P27" s="21" t="n">
        <v>1</v>
      </c>
      <c r="Q27" s="21" t="n">
        <v>2</v>
      </c>
      <c r="R27" s="21" t="n">
        <v>3</v>
      </c>
      <c r="S27" s="21" t="n">
        <v>4</v>
      </c>
      <c r="T27" s="21" t="n">
        <v>5</v>
      </c>
      <c r="U27" s="21">
        <f>$Z$41</f>
        <v/>
      </c>
      <c r="V27" s="22">
        <f>IF(P27=""," ",MID("▁▂▃▄▅▆▇█",MAX(1,MIN(8,ROUND((P27-(MIN(P27:U27)))/MAX(1E-9,(MAX(P27:U27))-(MIN(P27:U27)))*7+1,0))),1))&amp;IF(Q27=""," ",MID("▁▂▃▄▅▆▇█",MAX(1,MIN(8,ROUND((Q27-(MIN(P27:U27)))/MAX(1E-9,(MAX(P27:U27))-(MIN(P27:U27)))*7+1,0))),1))&amp;IF(R27=""," ",MID("▁▂▃▄▅▆▇█",MAX(1,MIN(8,ROUND((R27-(MIN(P27:U27)))/MAX(1E-9,(MAX(P27:U27))-(MIN(P27:U27)))*7+1,0))),1))&amp;IF(S27=""," ",MID("▁▂▃▄▅▆▇█",MAX(1,MIN(8,ROUND((S27-(MIN(P27:U27)))/MAX(1E-9,(MAX(P27:U27))-(MIN(P27:U27)))*7+1,0))),1))&amp;IF(T27=""," ",MID("▁▂▃▄▅▆▇█",MAX(1,MIN(8,ROUND((T27-(MIN(P27:U27)))/MAX(1E-9,(MAX(P27:U27))-(MIN(P27:U27)))*7+1,0))),1))&amp;IF(U27=""," ",MID("▁▂▃▄▅▆▇█",MAX(1,MIN(8,ROUND((U27-(MIN(P27:U27)))/MAX(1E-9,(MAX(P27:U27))-(MIN(P27:U27)))*7+1,0))),1))</f>
        <v/>
      </c>
    </row>
    <row r="28">
      <c r="A28" s="2" t="n"/>
      <c r="B28" s="16" t="inlineStr">
        <is>
          <t>Gap restante</t>
        </is>
      </c>
      <c r="C28" s="17" t="n">
        <v>0</v>
      </c>
      <c r="D28" s="17">
        <f>IF(G28&gt;=0,G28,0)</f>
        <v/>
      </c>
      <c r="E28" s="17">
        <f>IF(G28&lt;0,-G28,0)</f>
        <v/>
      </c>
      <c r="F28" s="17">
        <f>G28</f>
        <v/>
      </c>
      <c r="G28" s="18">
        <f>SUM(OKRS!C6:C9)-SUM(OKRS!D6:D9)</f>
        <v/>
      </c>
      <c r="H28" s="2" t="n"/>
      <c r="I28" s="2" t="n"/>
      <c r="J28" s="2" t="n"/>
      <c r="K28" s="2" t="n"/>
      <c r="L28" s="2" t="n"/>
      <c r="N28" s="19" t="inlineStr">
        <is>
          <t>Hábitos %</t>
        </is>
      </c>
      <c r="O28" s="20">
        <f>$Z$43*100</f>
        <v/>
      </c>
      <c r="P28" s="21" t="n">
        <v>40</v>
      </c>
      <c r="Q28" s="21" t="n">
        <v>48</v>
      </c>
      <c r="R28" s="21" t="n">
        <v>55</v>
      </c>
      <c r="S28" s="21" t="n">
        <v>60</v>
      </c>
      <c r="T28" s="21" t="n">
        <v>65</v>
      </c>
      <c r="U28" s="21">
        <f>$Z$43*100</f>
        <v/>
      </c>
      <c r="V28" s="22">
        <f>IF(P28=""," ",MID("▁▂▃▄▅▆▇█",MAX(1,MIN(8,ROUND((P28-(MIN(P28:U28)))/MAX(1E-9,(MAX(P28:U28))-(MIN(P28:U28)))*7+1,0))),1))&amp;IF(Q28=""," ",MID("▁▂▃▄▅▆▇█",MAX(1,MIN(8,ROUND((Q28-(MIN(P28:U28)))/MAX(1E-9,(MAX(P28:U28))-(MIN(P28:U28)))*7+1,0))),1))&amp;IF(R28=""," ",MID("▁▂▃▄▅▆▇█",MAX(1,MIN(8,ROUND((R28-(MIN(P28:U28)))/MAX(1E-9,(MAX(P28:U28))-(MIN(P28:U28)))*7+1,0))),1))&amp;IF(S28=""," ",MID("▁▂▃▄▅▆▇█",MAX(1,MIN(8,ROUND((S28-(MIN(P28:U28)))/MAX(1E-9,(MAX(P28:U28))-(MIN(P28:U28)))*7+1,0))),1))&amp;IF(T28=""," ",MID("▁▂▃▄▅▆▇█",MAX(1,MIN(8,ROUND((T28-(MIN(P28:U28)))/MAX(1E-9,(MAX(P28:U28))-(MIN(P28:U28)))*7+1,0))),1))&amp;IF(U28=""," ",MID("▁▂▃▄▅▆▇█",MAX(1,MIN(8,ROUND((U28-(MIN(P28:U28)))/MAX(1E-9,(MAX(P28:U28))-(MIN(P28:U28)))*7+1,0))),1))</f>
        <v/>
      </c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13" t="inlineStr">
        <is>
          <t>Spark · progresso por OKR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 ht="26" customHeight="1">
      <c r="A35" s="2" t="n"/>
      <c r="B35" s="15" t="inlineStr">
        <is>
          <t>Ponto</t>
        </is>
      </c>
      <c r="C35" s="15" t="inlineStr">
        <is>
          <t>Valor</t>
        </is>
      </c>
      <c r="D35" s="23" t="inlineStr">
        <is>
          <t>Spark</t>
        </is>
      </c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4" t="inlineStr">
        <is>
          <t>OKR1</t>
        </is>
      </c>
      <c r="C36" s="25">
        <f>OKRS!E6*100</f>
        <v/>
      </c>
      <c r="D36" s="26">
        <f>IF(OR(C36="",NOT(ISNUMBER(C36))),"",REPT("▬",MAX(1,ROUND((C36-(MIN(C36:C41)))/MAX(1E-9,(MAX(C36:C41))-(MIN(C36:C41)))*10,0))))</f>
        <v/>
      </c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4" t="inlineStr">
        <is>
          <t>OKR2</t>
        </is>
      </c>
      <c r="C37" s="25">
        <f>OKRS!E7*100</f>
        <v/>
      </c>
      <c r="D37" s="26">
        <f>IF(OR(C37="",NOT(ISNUMBER(C37))),"",REPT("▬",MAX(1,ROUND((C37-(MIN(C36:C41)))/MAX(1E-9,(MAX(C36:C41))-(MIN(C36:C41)))*10,0))))</f>
        <v/>
      </c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4" t="inlineStr">
        <is>
          <t>OKR3</t>
        </is>
      </c>
      <c r="C38" s="25">
        <f>OKRS!E8*100</f>
        <v/>
      </c>
      <c r="D38" s="26">
        <f>IF(OR(C38="",NOT(ISNUMBER(C38))),"",REPT("▬",MAX(1,ROUND((C38-(MIN(C36:C41)))/MAX(1E-9,(MAX(C36:C41))-(MIN(C36:C41)))*10,0))))</f>
        <v/>
      </c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4" t="inlineStr">
        <is>
          <t>OKR4</t>
        </is>
      </c>
      <c r="C39" s="25">
        <f>OKRS!E9*100</f>
        <v/>
      </c>
      <c r="D39" s="26">
        <f>IF(OR(C39="",NOT(ISNUMBER(C39))),"",REPT("▬",MAX(1,ROUND((C39-(MIN(C36:C41)))/MAX(1E-9,(MAX(C36:C41))-(MIN(C36:C41)))*10,0))))</f>
        <v/>
      </c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4" t="inlineStr">
        <is>
          <t>OKR5</t>
        </is>
      </c>
      <c r="C40" s="25">
        <f>OKRS!E10*100</f>
        <v/>
      </c>
      <c r="D40" s="26">
        <f>IF(OR(C40="",NOT(ISNUMBER(C40))),"",REPT("▬",MAX(1,ROUND((C40-(MIN(C36:C41)))/MAX(1E-9,(MAX(C36:C41))-(MIN(C36:C41)))*10,0))))</f>
        <v/>
      </c>
      <c r="E40" s="2" t="n"/>
      <c r="F40" s="2" t="n"/>
      <c r="G40" s="2" t="n"/>
      <c r="H40" s="2" t="n"/>
      <c r="I40" s="2" t="n"/>
      <c r="J40" s="2" t="n"/>
      <c r="K40" s="2" t="n"/>
      <c r="L40" s="2" t="n"/>
      <c r="Z40" s="27">
        <f>AVERAGE(OKRS!E6:E11)</f>
        <v/>
      </c>
    </row>
    <row r="41">
      <c r="A41" s="2" t="n"/>
      <c r="B41" s="24" t="inlineStr">
        <is>
          <t>OKR6</t>
        </is>
      </c>
      <c r="C41" s="25">
        <f>OKRS!E11*100</f>
        <v/>
      </c>
      <c r="D41" s="26">
        <f>IF(OR(C41="",NOT(ISNUMBER(C41))),"",REPT("▬",MAX(1,ROUND((C41-(MIN(C36:C41)))/MAX(1E-9,(MAX(C36:C41))-(MIN(C36:C41)))*10,0))))</f>
        <v/>
      </c>
      <c r="E41" s="2" t="n"/>
      <c r="F41" s="2" t="n"/>
      <c r="G41" s="2" t="n"/>
      <c r="H41" s="2" t="n"/>
      <c r="I41" s="2" t="n"/>
      <c r="J41" s="2" t="n"/>
      <c r="K41" s="2" t="n"/>
      <c r="L41" s="2" t="n"/>
      <c r="Z41" s="27">
        <f>COUNTIF(OKRS!H6:H11,"🟢 no ritmo")</f>
        <v/>
      </c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Z42" s="27">
        <f>COUNTIF(OKRS!H6:H11,"🔴 fora do ritmo")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Z43" s="27">
        <f>AVERAGE(HABITOS!I6:I11)</f>
        <v/>
      </c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Z44" s="27">
        <f>COUNTA(OKRS!A6:A11)</f>
        <v/>
      </c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</sheetData>
  <mergeCells count="18">
    <mergeCell ref="D6:E6"/>
    <mergeCell ref="B6:C6"/>
    <mergeCell ref="A2:L2"/>
    <mergeCell ref="D7:E7"/>
    <mergeCell ref="B7:C7"/>
    <mergeCell ref="H6:I6"/>
    <mergeCell ref="J5:K5"/>
    <mergeCell ref="J6:K6"/>
    <mergeCell ref="B5:C5"/>
    <mergeCell ref="H7:I7"/>
    <mergeCell ref="A1:L1"/>
    <mergeCell ref="D5:E5"/>
    <mergeCell ref="F5:G5"/>
    <mergeCell ref="J7:K7"/>
    <mergeCell ref="F6:G6"/>
    <mergeCell ref="H5:I5"/>
    <mergeCell ref="A3:L3"/>
    <mergeCell ref="F7:G7"/>
  </mergeCells>
  <conditionalFormatting sqref="G26:G2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O26:O28">
    <cfRule type="dataBar" priority="3">
      <dataBar>
        <cfvo type="min"/>
        <cfvo type="max"/>
        <color rgb="00C99C66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1" customWidth="1" min="4" max="4"/>
    <col width="12" customWidth="1" min="5" max="5"/>
    <col width="13" customWidth="1" min="6" max="6"/>
    <col width="12" customWidth="1" min="7" max="7"/>
    <col width="16" customWidth="1" min="8" max="8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30" customHeight="1">
      <c r="A2" s="3" t="inlineStr">
        <is>
          <t>Objetivos &amp; Resultados-Chave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 ht="18" customHeight="1">
      <c r="A3" s="4" t="inlineStr">
        <is>
          <t>Progresso, ritmo e previsão de atingimento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 ht="26" customHeight="1">
      <c r="A5" s="15" t="inlineStr">
        <is>
          <t>Objetivo / KR</t>
        </is>
      </c>
      <c r="B5" s="15" t="inlineStr">
        <is>
          <t>Baseline</t>
        </is>
      </c>
      <c r="C5" s="15" t="inlineStr">
        <is>
          <t>Meta</t>
        </is>
      </c>
      <c r="D5" s="15" t="inlineStr">
        <is>
          <t>Atual</t>
        </is>
      </c>
      <c r="E5" s="15" t="inlineStr">
        <is>
          <t>% Progr.</t>
        </is>
      </c>
      <c r="F5" s="15" t="inlineStr">
        <is>
          <t>Prazo</t>
        </is>
      </c>
      <c r="G5" s="15" t="inlineStr">
        <is>
          <t>Ritmo/dia</t>
        </is>
      </c>
      <c r="H5" s="15" t="inlineStr">
        <is>
          <t>Previsão</t>
        </is>
      </c>
      <c r="I5" s="2" t="n"/>
      <c r="J5" s="2" t="n"/>
    </row>
    <row r="6">
      <c r="A6" s="28" t="inlineStr">
        <is>
          <t>Faturar R$ 40k/mês</t>
        </is>
      </c>
      <c r="B6" s="29" t="n">
        <v>12000</v>
      </c>
      <c r="C6" s="28" t="n">
        <v>40000</v>
      </c>
      <c r="D6" s="30" t="n">
        <v>26500</v>
      </c>
      <c r="E6" s="31">
        <f>IFERROR((D6-B6)/(C6-B6),0)</f>
        <v/>
      </c>
      <c r="F6" s="32" t="n">
        <v>46375</v>
      </c>
      <c r="G6" s="33">
        <f>IFERROR((D6-B6)/40,0)</f>
        <v/>
      </c>
      <c r="H6" s="34">
        <f>IF((D6+G6*(F6-TODAY()))&gt;=C6,"🟢 no ritmo",IF((D6+G6*(F6-TODAY()))&gt;=C6*0.8,"🟡 risco","🔴 fora do ritmo"))</f>
        <v/>
      </c>
      <c r="I6" s="2" t="n"/>
      <c r="J6" s="2" t="n"/>
    </row>
    <row r="7">
      <c r="A7" s="28" t="inlineStr">
        <is>
          <t>Reserva de emergência</t>
        </is>
      </c>
      <c r="B7" s="29" t="n">
        <v>0</v>
      </c>
      <c r="C7" s="28" t="n">
        <v>30000</v>
      </c>
      <c r="D7" s="30" t="n">
        <v>14500</v>
      </c>
      <c r="E7" s="31">
        <f>IFERROR((D7-B7)/(C7-B7),0)</f>
        <v/>
      </c>
      <c r="F7" s="32" t="n">
        <v>46345</v>
      </c>
      <c r="G7" s="33">
        <f>IFERROR((D7-B7)/40,0)</f>
        <v/>
      </c>
      <c r="H7" s="34">
        <f>IF((D7+G7*(F7-TODAY()))&gt;=C7,"🟢 no ritmo",IF((D7+G7*(F7-TODAY()))&gt;=C7*0.8,"🟡 risco","🔴 fora do ritmo"))</f>
        <v/>
      </c>
      <c r="I7" s="2" t="n"/>
      <c r="J7" s="2" t="n"/>
    </row>
    <row r="8">
      <c r="A8" s="28" t="inlineStr">
        <is>
          <t>Reduzir custo fixo</t>
        </is>
      </c>
      <c r="B8" s="29" t="n">
        <v>8000</v>
      </c>
      <c r="C8" s="28" t="n">
        <v>5000</v>
      </c>
      <c r="D8" s="30" t="n">
        <v>6800</v>
      </c>
      <c r="E8" s="31">
        <f>IFERROR((D8-B8)/(C8-B8),0)</f>
        <v/>
      </c>
      <c r="F8" s="32" t="n">
        <v>46315</v>
      </c>
      <c r="G8" s="33">
        <f>IFERROR((D8-B8)/40,0)</f>
        <v/>
      </c>
      <c r="H8" s="34">
        <f>IF((D8+G8*(F8-TODAY()))&gt;=C8,"🟢 no ritmo",IF((D8+G8*(F8-TODAY()))&gt;=C8*0.8,"🟡 risco","🔴 fora do ritmo"))</f>
        <v/>
      </c>
      <c r="I8" s="2" t="n"/>
      <c r="J8" s="2" t="n"/>
    </row>
    <row r="9">
      <c r="A9" s="28" t="inlineStr">
        <is>
          <t>Fechar 12 contratos</t>
        </is>
      </c>
      <c r="B9" s="29" t="n">
        <v>0</v>
      </c>
      <c r="C9" s="28" t="n">
        <v>12</v>
      </c>
      <c r="D9" s="30" t="n">
        <v>7</v>
      </c>
      <c r="E9" s="31">
        <f>IFERROR((D9-B9)/(C9-B9),0)</f>
        <v/>
      </c>
      <c r="F9" s="32" t="n">
        <v>46385</v>
      </c>
      <c r="G9" s="33">
        <f>IFERROR((D9-B9)/40,0)</f>
        <v/>
      </c>
      <c r="H9" s="34">
        <f>IF((D9+G9*(F9-TODAY()))&gt;=C9,"🟢 no ritmo",IF((D9+G9*(F9-TODAY()))&gt;=C9*0.8,"🟡 risco","🔴 fora do ritmo"))</f>
        <v/>
      </c>
      <c r="I9" s="2" t="n"/>
      <c r="J9" s="2" t="n"/>
    </row>
    <row r="10">
      <c r="A10" s="28" t="inlineStr">
        <is>
          <t>MRR de produto</t>
        </is>
      </c>
      <c r="B10" s="29" t="n">
        <v>0</v>
      </c>
      <c r="C10" s="28" t="n">
        <v>15000</v>
      </c>
      <c r="D10" s="30" t="n">
        <v>6200</v>
      </c>
      <c r="E10" s="31">
        <f>IFERROR((D10-B10)/(C10-B10),0)</f>
        <v/>
      </c>
      <c r="F10" s="32" t="n">
        <v>46425</v>
      </c>
      <c r="G10" s="33">
        <f>IFERROR((D10-B10)/40,0)</f>
        <v/>
      </c>
      <c r="H10" s="34">
        <f>IF((D10+G10*(F10-TODAY()))&gt;=C10,"🟢 no ritmo",IF((D10+G10*(F10-TODAY()))&gt;=C10*0.8,"🟡 risco","🔴 fora do ritmo"))</f>
        <v/>
      </c>
      <c r="I10" s="2" t="n"/>
      <c r="J10" s="2" t="n"/>
    </row>
    <row r="11">
      <c r="A11" s="28" t="inlineStr">
        <is>
          <t>NPS acima de 70</t>
        </is>
      </c>
      <c r="B11" s="29" t="n">
        <v>40</v>
      </c>
      <c r="C11" s="28" t="n">
        <v>70</v>
      </c>
      <c r="D11" s="30" t="n">
        <v>58</v>
      </c>
      <c r="E11" s="31">
        <f>IFERROR((D11-B11)/(C11-B11),0)</f>
        <v/>
      </c>
      <c r="F11" s="32" t="n">
        <v>46305</v>
      </c>
      <c r="G11" s="33">
        <f>IFERROR((D11-B11)/40,0)</f>
        <v/>
      </c>
      <c r="H11" s="34">
        <f>IF((D11+G11*(F11-TODAY()))&gt;=C11,"🟢 no ritmo",IF((D11+G11*(F11-TODAY()))&gt;=C11*0.8,"🟡 risco","🔴 fora do ritmo"))</f>
        <v/>
      </c>
      <c r="I11" s="2" t="n"/>
      <c r="J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</sheetData>
  <mergeCells count="3">
    <mergeCell ref="A3:H3"/>
    <mergeCell ref="A2:H2"/>
    <mergeCell ref="A1:H1"/>
  </mergeCells>
  <conditionalFormatting sqref="E6:E11">
    <cfRule type="dataBar" priority="1">
      <dataBar>
        <cfvo type="num" val="0"/>
        <cfvo type="num" val="1"/>
        <color rgb="002E9E5B"/>
      </dataBar>
    </cfRule>
  </conditionalFormatting>
  <conditionalFormatting sqref="H6:H11">
    <cfRule type="cellIs" priority="2" operator="equal" dxfId="2">
      <formula>"🔴 fora do ritmo"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11" customWidth="1" min="9" max="9"/>
    <col width="16" customWidth="1" min="10" max="10"/>
  </cols>
  <sheetData>
    <row r="1" ht="16" customHeight="1">
      <c r="A1" s="1" t="inlineStr">
        <is>
          <t>TRUST EXCEL  ·  TRUST CORPORATION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30" customHeight="1">
      <c r="A2" s="3" t="inlineStr">
        <is>
          <t>Hábitos da Semana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 ht="18" customHeight="1">
      <c r="A3" s="4" t="inlineStr">
        <is>
          <t>Marque 1 (feito) — consistência automática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 ht="26" customHeight="1">
      <c r="A5" s="15" t="inlineStr">
        <is>
          <t>Hábito</t>
        </is>
      </c>
      <c r="B5" s="15" t="inlineStr">
        <is>
          <t>Seg</t>
        </is>
      </c>
      <c r="C5" s="15" t="inlineStr">
        <is>
          <t>Ter</t>
        </is>
      </c>
      <c r="D5" s="15" t="inlineStr">
        <is>
          <t>Qua</t>
        </is>
      </c>
      <c r="E5" s="15" t="inlineStr">
        <is>
          <t>Qui</t>
        </is>
      </c>
      <c r="F5" s="15" t="inlineStr">
        <is>
          <t>Sex</t>
        </is>
      </c>
      <c r="G5" s="15" t="inlineStr">
        <is>
          <t>Sáb</t>
        </is>
      </c>
      <c r="H5" s="15" t="inlineStr">
        <is>
          <t>Dom</t>
        </is>
      </c>
      <c r="I5" s="15" t="inlineStr">
        <is>
          <t>% Sem.</t>
        </is>
      </c>
      <c r="J5" s="15" t="inlineStr">
        <is>
          <t>Status</t>
        </is>
      </c>
      <c r="K5" s="2" t="n"/>
      <c r="L5" s="2" t="n"/>
      <c r="M5" s="2" t="n"/>
      <c r="N5" s="2" t="n"/>
    </row>
    <row r="6">
      <c r="A6" s="28" t="inlineStr">
        <is>
          <t>Treino / movimento</t>
        </is>
      </c>
      <c r="B6" s="35" t="n">
        <v>1</v>
      </c>
      <c r="C6" s="35" t="n">
        <v>1</v>
      </c>
      <c r="D6" s="35" t="n"/>
      <c r="E6" s="35" t="n">
        <v>1</v>
      </c>
      <c r="F6" s="35" t="n">
        <v>1</v>
      </c>
      <c r="G6" s="35" t="n"/>
      <c r="H6" s="35" t="n">
        <v>1</v>
      </c>
      <c r="I6" s="36">
        <f>COUNTIF(B6:H6,1)/7</f>
        <v/>
      </c>
      <c r="J6" s="16">
        <f>IF(I6&gt;=0.8,"🔥 forte",IF(I6&gt;=0.5,"ok","⚠ frágil"))</f>
        <v/>
      </c>
      <c r="K6" s="2" t="n"/>
      <c r="L6" s="2" t="n"/>
      <c r="M6" s="2" t="n"/>
      <c r="N6" s="2" t="n"/>
    </row>
    <row r="7">
      <c r="A7" s="28" t="inlineStr">
        <is>
          <t>Leitura 20min</t>
        </is>
      </c>
      <c r="B7" s="35" t="n">
        <v>1</v>
      </c>
      <c r="C7" s="35" t="n"/>
      <c r="D7" s="35" t="n">
        <v>1</v>
      </c>
      <c r="E7" s="35" t="n">
        <v>1</v>
      </c>
      <c r="F7" s="35" t="n"/>
      <c r="G7" s="35" t="n">
        <v>1</v>
      </c>
      <c r="H7" s="35" t="n">
        <v>1</v>
      </c>
      <c r="I7" s="36">
        <f>COUNTIF(B7:H7,1)/7</f>
        <v/>
      </c>
      <c r="J7" s="16">
        <f>IF(I7&gt;=0.8,"🔥 forte",IF(I7&gt;=0.5,"ok","⚠ frágil"))</f>
        <v/>
      </c>
      <c r="K7" s="2" t="n"/>
      <c r="L7" s="2" t="n"/>
      <c r="M7" s="2" t="n"/>
      <c r="N7" s="2" t="n"/>
    </row>
    <row r="8">
      <c r="A8" s="28" t="inlineStr">
        <is>
          <t>Prospecção comercial</t>
        </is>
      </c>
      <c r="B8" s="35" t="n">
        <v>1</v>
      </c>
      <c r="C8" s="35" t="n">
        <v>1</v>
      </c>
      <c r="D8" s="35" t="n">
        <v>1</v>
      </c>
      <c r="E8" s="35" t="n"/>
      <c r="F8" s="35" t="n">
        <v>1</v>
      </c>
      <c r="G8" s="35" t="n"/>
      <c r="H8" s="35" t="n"/>
      <c r="I8" s="36">
        <f>COUNTIF(B8:H8,1)/7</f>
        <v/>
      </c>
      <c r="J8" s="16">
        <f>IF(I8&gt;=0.8,"🔥 forte",IF(I8&gt;=0.5,"ok","⚠ frágil"))</f>
        <v/>
      </c>
      <c r="K8" s="2" t="n"/>
      <c r="L8" s="2" t="n"/>
      <c r="M8" s="2" t="n"/>
      <c r="N8" s="2" t="n"/>
    </row>
    <row r="9">
      <c r="A9" s="28" t="inlineStr">
        <is>
          <t>Registrar finanças</t>
        </is>
      </c>
      <c r="B9" s="35" t="n">
        <v>1</v>
      </c>
      <c r="C9" s="35" t="n">
        <v>1</v>
      </c>
      <c r="D9" s="35" t="n">
        <v>1</v>
      </c>
      <c r="E9" s="35" t="n">
        <v>1</v>
      </c>
      <c r="F9" s="35" t="n">
        <v>1</v>
      </c>
      <c r="G9" s="35" t="n">
        <v>1</v>
      </c>
      <c r="H9" s="35" t="n"/>
      <c r="I9" s="36">
        <f>COUNTIF(B9:H9,1)/7</f>
        <v/>
      </c>
      <c r="J9" s="16">
        <f>IF(I9&gt;=0.8,"🔥 forte",IF(I9&gt;=0.5,"ok","⚠ frágil"))</f>
        <v/>
      </c>
      <c r="K9" s="2" t="n"/>
      <c r="L9" s="2" t="n"/>
      <c r="M9" s="2" t="n"/>
      <c r="N9" s="2" t="n"/>
    </row>
    <row r="10">
      <c r="A10" s="28" t="inlineStr">
        <is>
          <t>Sono 7h+</t>
        </is>
      </c>
      <c r="B10" s="35" t="n"/>
      <c r="C10" s="35" t="n">
        <v>1</v>
      </c>
      <c r="D10" s="35" t="n">
        <v>1</v>
      </c>
      <c r="E10" s="35" t="n"/>
      <c r="F10" s="35" t="n">
        <v>1</v>
      </c>
      <c r="G10" s="35" t="n">
        <v>1</v>
      </c>
      <c r="H10" s="35" t="n">
        <v>1</v>
      </c>
      <c r="I10" s="36">
        <f>COUNTIF(B10:H10,1)/7</f>
        <v/>
      </c>
      <c r="J10" s="16">
        <f>IF(I10&gt;=0.8,"🔥 forte",IF(I10&gt;=0.5,"ok","⚠ frágil"))</f>
        <v/>
      </c>
      <c r="K10" s="2" t="n"/>
      <c r="L10" s="2" t="n"/>
      <c r="M10" s="2" t="n"/>
      <c r="N10" s="2" t="n"/>
    </row>
    <row r="11">
      <c r="A11" s="28" t="inlineStr">
        <is>
          <t>Deep work 2h</t>
        </is>
      </c>
      <c r="B11" s="35" t="n">
        <v>1</v>
      </c>
      <c r="C11" s="35" t="n">
        <v>1</v>
      </c>
      <c r="D11" s="35" t="n"/>
      <c r="E11" s="35" t="n">
        <v>1</v>
      </c>
      <c r="F11" s="35" t="n">
        <v>1</v>
      </c>
      <c r="G11" s="35" t="n"/>
      <c r="H11" s="35" t="n"/>
      <c r="I11" s="36">
        <f>COUNTIF(B11:H11,1)/7</f>
        <v/>
      </c>
      <c r="J11" s="16">
        <f>IF(I11&gt;=0.8,"🔥 forte",IF(I11&gt;=0.5,"ok","⚠ frágil"))</f>
        <v/>
      </c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</sheetData>
  <mergeCells count="3">
    <mergeCell ref="A1:J1"/>
    <mergeCell ref="A3:J3"/>
    <mergeCell ref="A2:J2"/>
  </mergeCells>
  <conditionalFormatting sqref="B6:H11">
    <cfRule type="iconSet" priority="1">
      <iconSet iconSet="3Symbols">
        <cfvo type="num" val="0"/>
        <cfvo type="num" val="1"/>
        <cfvo type="num" val="1"/>
      </iconSet>
    </cfRule>
  </conditionalFormatting>
  <conditionalFormatting sqref="I6:I11">
    <cfRule type="colorScale" priority="2">
      <colorScale>
        <cfvo type="num" val="0"/>
        <cfvo type="num" val="0.5"/>
        <cfvo type="num" val="1"/>
        <color rgb="00D9534F"/>
        <color rgb="00E0A94B"/>
        <color rgb="002E9E5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2026-07-22T18:16:57Z</dcterms:created>
  <dcterms:modified xmlns:dcterms="http://purl.org/dc/terms/" xmlns:xsi="http://www.w3.org/2001/XMLSchema-instance" xsi:type="dcterms:W3CDTF">2026-07-22T18:16:57Z</dcterms:modified>
</cp:coreProperties>
</file>