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OKRS" sheetId="2" state="visible" r:id="rId4"/>
    <sheet name="HABITOS" sheetId="3" state="visible" r:id="rId5"/>
  </sheets>
  <definedNames>
    <definedName function="false" hidden="false" localSheetId="0" name="_xlnm.Print_Area" vbProcedure="false">DASHBOARD!$A$1:$L$42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<sst xmlns="http://schemas.openxmlformats.org/spreadsheetml/2006/main" count="80" uniqueCount="76">
  <si>
    <t xml:space="preserve">TRUST EXCEL  ·  TRUST CORPORATION</t>
  </si>
  <si>
    <t xml:space="preserve">Painel OKR &amp; Hábitos</t>
  </si>
  <si>
    <t xml:space="preserve">Progresso, previsão de atingimento e consistência</t>
  </si>
  <si>
    <t xml:space="preserve">PROGRESSO MÉDIO</t>
  </si>
  <si>
    <t xml:space="preserve">OKRS NO RITMO</t>
  </si>
  <si>
    <t xml:space="preserve">OKRS EM RISCO</t>
  </si>
  <si>
    <t xml:space="preserve">CONSISTÊNCIA HÁBITOS</t>
  </si>
  <si>
    <t xml:space="preserve">OBJETIVOS ATIVOS</t>
  </si>
  <si>
    <t xml:space="preserve">atingem a meta no prazo</t>
  </si>
  <si>
    <t xml:space="preserve">PROGRESSO POR OBJETIVO</t>
  </si>
  <si>
    <t xml:space="preserve">CONSISTÊNCIA DOS HÁBITOS</t>
  </si>
  <si>
    <t xml:space="preserve">Cascata · gap dos top 4 OKRs</t>
  </si>
  <si>
    <t xml:space="preserve">MINI-SPARKLINES</t>
  </si>
  <si>
    <t xml:space="preserve">Etapa</t>
  </si>
  <si>
    <t xml:space="preserve">Base</t>
  </si>
  <si>
    <t xml:space="preserve">Alta</t>
  </si>
  <si>
    <t xml:space="preserve">Baixa</t>
  </si>
  <si>
    <t xml:space="preserve">Total</t>
  </si>
  <si>
    <t xml:space="preserve">Δ</t>
  </si>
  <si>
    <t xml:space="preserve">Indicador</t>
  </si>
  <si>
    <t xml:space="preserve">Atual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</si>
  <si>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</si>
  <si>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</si>
  <si>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</si>
  <si>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</si>
  <si>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</si>
  <si>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</si>
  <si>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Spark</t>
  </si>
  <si>
    <t xml:space="preserve">Meta total</t>
  </si>
  <si>
    <t xml:space="preserve">Progresso %</t>
  </si>
  <si>
    <t xml:space="preserve">− Já feito</t>
  </si>
  <si>
    <t xml:space="preserve">No ritmo</t>
  </si>
  <si>
    <t xml:space="preserve">Gap restante</t>
  </si>
  <si>
    <t xml:space="preserve">Hábitos %</t>
  </si>
  <si>
    <t xml:space="preserve">Spark · progresso por OKR</t>
  </si>
  <si>
    <t xml:space="preserve">Ponto</t>
  </si>
  <si>
    <t xml:space="preserve">Valor</t>
  </si>
  <si>
    <t xml:space="preserve">OKR1</t>
  </si>
  <si>
    <t xml:space="preserve">OKR2</t>
  </si>
  <si>
    <t xml:space="preserve">OKR3</t>
  </si>
  <si>
    <t xml:space="preserve">OKR4</t>
  </si>
  <si>
    <t xml:space="preserve">OKR5</t>
  </si>
  <si>
    <t xml:space="preserve">OKR6</t>
  </si>
  <si>
    <t xml:space="preserve">Objetivos &amp; Resultados-Chave</t>
  </si>
  <si>
    <t xml:space="preserve">Progresso, ritmo e previsão de atingimento</t>
  </si>
  <si>
    <t xml:space="preserve">Objetivo / KR</t>
  </si>
  <si>
    <t xml:space="preserve">Baseline</t>
  </si>
  <si>
    <t xml:space="preserve">Meta</t>
  </si>
  <si>
    <t xml:space="preserve">% Progr.</t>
  </si>
  <si>
    <t xml:space="preserve">Prazo</t>
  </si>
  <si>
    <t xml:space="preserve">Ritmo/dia</t>
  </si>
  <si>
    <t xml:space="preserve">Previsão</t>
  </si>
  <si>
    <t xml:space="preserve">Faturar R$ 40k/mês</t>
  </si>
  <si>
    <t xml:space="preserve">Reserva de emergência</t>
  </si>
  <si>
    <t xml:space="preserve">Reduzir custo fixo</t>
  </si>
  <si>
    <t xml:space="preserve">Fechar 12 contratos</t>
  </si>
  <si>
    <t xml:space="preserve">MRR de produto</t>
  </si>
  <si>
    <t xml:space="preserve">NPS acima de 70</t>
  </si>
  <si>
    <t xml:space="preserve">Hábitos da Semana</t>
  </si>
  <si>
    <t xml:space="preserve">Marque 1 (feito) — consistência automática</t>
  </si>
  <si>
    <t xml:space="preserve">Hábito</t>
  </si>
  <si>
    <t xml:space="preserve">Seg</t>
  </si>
  <si>
    <t xml:space="preserve">Ter</t>
  </si>
  <si>
    <t xml:space="preserve">Qua</t>
  </si>
  <si>
    <t xml:space="preserve">Qui</t>
  </si>
  <si>
    <t xml:space="preserve">Sex</t>
  </si>
  <si>
    <t xml:space="preserve">Sáb</t>
  </si>
  <si>
    <t xml:space="preserve">Dom</t>
  </si>
  <si>
    <t xml:space="preserve">% Sem.</t>
  </si>
  <si>
    <t xml:space="preserve">Status</t>
  </si>
  <si>
    <t xml:space="preserve">Treino / movimento</t>
  </si>
  <si>
    <t xml:space="preserve">Leitura 20min</t>
  </si>
  <si>
    <t xml:space="preserve">Prospecção comercial</t>
  </si>
  <si>
    <t xml:space="preserve">Registrar finanças</t>
  </si>
  <si>
    <t xml:space="preserve">Sono 7h+</t>
  </si>
  <si>
    <t xml:space="preserve">Deep work 2h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</si>
</sst>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"/>
    <numFmt numFmtId="167" formatCode="#,##0;\(#,##0\);\—"/>
    <numFmt numFmtId="168" formatCode="#,##0.0;\(#,##0.0\);\—"/>
    <numFmt numFmtId="169" formatCode="0.00%"/>
    <numFmt numFmtId="170" formatCode="dd/mm/yy"/>
    <numFmt numFmtId="171" formatCode="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99C66"/>
      <name val="Aptos Narrow"/>
      <family val="0"/>
      <charset val="1"/>
    </font>
    <font>
      <b val="true"/>
      <sz val="20"/>
      <color rgb="FFF3ECDD"/>
      <name val="Aptos Narrow"/>
      <family val="0"/>
      <charset val="1"/>
    </font>
    <font>
      <i val="true"/>
      <sz val="10"/>
      <color rgb="FF8A9691"/>
      <name val="Aptos Narrow"/>
      <family val="0"/>
      <charset val="1"/>
    </font>
    <font>
      <b val="true"/>
      <sz val="8"/>
      <color rgb="FF8A9691"/>
      <name val="Aptos Narrow"/>
      <family val="0"/>
      <charset val="1"/>
    </font>
    <font>
      <b val="true"/>
      <sz val="20"/>
      <color rgb="FFC99C66"/>
      <name val="Aptos Narrow"/>
      <family val="0"/>
      <charset val="1"/>
    </font>
    <font>
      <b val="true"/>
      <sz val="20"/>
      <color rgb="FF43D07F"/>
      <name val="Aptos Narrow"/>
      <family val="0"/>
      <charset val="1"/>
    </font>
    <font>
      <b val="true"/>
      <sz val="20"/>
      <color rgb="FFD9534F"/>
      <name val="Aptos Narrow"/>
      <family val="0"/>
      <charset val="1"/>
    </font>
    <font>
      <i val="true"/>
      <sz val="7"/>
      <color rgb="FF8A9691"/>
      <name val="Aptos Narrow"/>
      <family val="0"/>
      <charset val="1"/>
    </font>
    <font>
      <b val="true"/>
      <sz val="10"/>
      <color rgb="FFC99C66"/>
      <name val="Aptos Narrow"/>
      <family val="0"/>
      <charset val="1"/>
    </font>
    <font>
      <b val="true"/>
      <sz val="9"/>
      <color rgb="FFF3ECDD"/>
      <name val="Aptos Narrow"/>
      <family val="0"/>
      <charset val="1"/>
    </font>
    <font>
      <sz val="9"/>
      <color rgb="FFF3ECDD"/>
      <name val="Aptos Narrow"/>
      <family val="0"/>
      <charset val="1"/>
    </font>
    <font>
      <sz val="8"/>
      <color rgb="FF8A9691"/>
      <name val="Aptos Narrow"/>
      <family val="0"/>
      <charset val="1"/>
    </font>
    <font>
      <sz val="7"/>
      <color rgb="FF8A9691"/>
      <name val="Aptos Narrow"/>
      <family val="0"/>
      <charset val="1"/>
    </font>
    <font>
      <sz val="11"/>
      <color rgb="FF43D07F"/>
      <name val="Aptos Narrow"/>
      <family val="0"/>
      <charset val="1"/>
    </font>
    <font>
      <sz val="8"/>
      <color rgb="FFC99C66"/>
      <name val="Aptos Narrow"/>
      <family val="0"/>
      <charset val="1"/>
    </font>
    <font>
      <sz val="8"/>
      <color rgb="FF43D07F"/>
      <name val="Aptos Narrow"/>
      <family val="0"/>
      <charset val="1"/>
    </font>
    <font>
      <sz val="9"/>
      <color rgb="FF0E1512"/>
      <name val="Aptos Narrow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F3ECDD"/>
      <name val="Aptos Narrow"/>
      <family val="0"/>
      <charset val="1"/>
    </font>
    <font>
      <sz val="10"/>
      <color rgb="FF8A9691"/>
      <name val="Aptos Narrow"/>
      <family val="0"/>
      <charset val="1"/>
    </font>
    <font>
      <sz val="10"/>
      <color rgb="FF43D07F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E1512"/>
        <bgColor rgb="FF14211B"/>
      </patternFill>
    </fill>
    <fill>
      <patternFill patternType="solid">
        <fgColor rgb="FF1B2C24"/>
        <bgColor rgb="FF1F3329"/>
      </patternFill>
    </fill>
    <fill>
      <patternFill patternType="solid">
        <fgColor rgb="FF1F3329"/>
        <bgColor rgb="FF24382E"/>
      </patternFill>
    </fill>
    <fill>
      <patternFill patternType="solid">
        <fgColor rgb="FF14211B"/>
        <bgColor rgb="FF1B2C2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C99C66"/>
      </top>
      <bottom style="thin">
        <color rgb="FF24382E"/>
      </bottom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24382E"/>
      </top>
      <bottom style="thin">
        <color rgb="FF24382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ptos Narrow"/>
        <charset val="1"/>
        <family val="0"/>
        <b val="1"/>
        <color rgb="FF43D07F"/>
        <sz val="9"/>
      </font>
    </dxf>
    <dxf>
      <font>
        <name val="Aptos Narrow"/>
        <charset val="1"/>
        <family val="0"/>
        <b val="1"/>
        <color rgb="FFD9534F"/>
        <sz val="9"/>
      </font>
    </dxf>
    <dxf>
      <font>
        <name val="Aptos Narrow"/>
        <charset val="1"/>
        <family val="0"/>
        <b val="1"/>
        <color rgb="FFFFFFFF"/>
        <sz val="9"/>
      </font>
      <fill>
        <patternFill>
          <bgColor rgb="FFD9534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E1512"/>
      <rgbColor rgb="FF808000"/>
      <rgbColor rgb="FF800080"/>
      <rgbColor rgb="FF008080"/>
      <rgbColor rgb="FFC0C0C0"/>
      <rgbColor rgb="FF878787"/>
      <rgbColor rgb="FF9999FF"/>
      <rgbColor rgb="FF993366"/>
      <rgbColor rgb="FFF9F9F9"/>
      <rgbColor rgb="FFCCFFFF"/>
      <rgbColor rgb="FF660066"/>
      <rgbColor rgb="FFC99C66"/>
      <rgbColor rgb="FF2E5F99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CDD"/>
      <rgbColor rgb="FFFFFF99"/>
      <rgbColor rgb="FF99CCFF"/>
      <rgbColor rgb="FFFF99CC"/>
      <rgbColor rgb="FFCC99FF"/>
      <rgbColor rgb="FFFFCC99"/>
      <rgbColor rgb="FF397BCA"/>
      <rgbColor rgb="FF43D07F"/>
      <rgbColor rgb="FF99CC00"/>
      <rgbColor rgb="FFFFCC00"/>
      <rgbColor rgb="FFFF9900"/>
      <rgbColor rgb="FFD9534F"/>
      <rgbColor rgb="FF4F81BD"/>
      <rgbColor rgb="FF8A9691"/>
      <rgbColor rgb="FF14211B"/>
      <rgbColor rgb="FF2E9E5B"/>
      <rgbColor rgb="FF1B2C24"/>
      <rgbColor rgb="FF1F3329"/>
      <rgbColor rgb="FF993300"/>
      <rgbColor rgb="FF993366"/>
      <rgbColor rgb="FF333399"/>
      <rgbColor rgb="FF2438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% de progresso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OKRS!E5</c:f>
              <c:strCache>
                <c:ptCount val="1"/>
                <c:pt idx="0">
                  <c:v>% Progr.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OKRS!$A$6:$A$11</c:f>
              <c:strCache>
                <c:ptCount val="6"/>
                <c:pt idx="0">
                  <c:v>Faturar R$ 40k/mês</c:v>
                </c:pt>
                <c:pt idx="1">
                  <c:v>Reserva de emergência</c:v>
                </c:pt>
                <c:pt idx="2">
                  <c:v>Reduzir custo fixo</c:v>
                </c:pt>
                <c:pt idx="3">
                  <c:v>Fechar 12 contratos</c:v>
                </c:pt>
                <c:pt idx="4">
                  <c:v>MRR de produto</c:v>
                </c:pt>
                <c:pt idx="5">
                  <c:v>NPS acima de 70</c:v>
                </c:pt>
              </c:strCache>
            </c:strRef>
          </c:cat>
          <c:val>
            <c:numRef>
              <c:f>OKRS!$E$6:$E$11</c:f>
              <c:numCache>
                <c:formatCode>0%</c:formatCode>
                <c:ptCount val="6"/>
                <c:pt idx="0">
                  <c:v>0.517857142857143</c:v>
                </c:pt>
                <c:pt idx="1">
                  <c:v>0.483333333333333</c:v>
                </c:pt>
                <c:pt idx="2">
                  <c:v>0.4</c:v>
                </c:pt>
                <c:pt idx="3">
                  <c:v>0.583333333333333</c:v>
                </c:pt>
                <c:pt idx="4">
                  <c:v>0.413333333333333</c:v>
                </c:pt>
                <c:pt idx="5">
                  <c:v>0.6</c:v>
                </c:pt>
              </c:numCache>
            </c:numRef>
          </c:val>
        </c:ser>
        <c:gapWidth val="150"/>
        <c:overlap val="0"/>
        <c:axId val="50472518"/>
        <c:axId val="50223213"/>
      </c:barChart>
      <c:catAx>
        <c:axId val="504725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223213"/>
        <c:crosses val="autoZero"/>
        <c:auto val="1"/>
        <c:lblAlgn val="ctr"/>
        <c:lblOffset val="100"/>
        <c:noMultiLvlLbl val="0"/>
      </c:catAx>
      <c:valAx>
        <c:axId val="502232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4725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% semanal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HABITOS!I5</c:f>
              <c:strCache>
                <c:ptCount val="1"/>
                <c:pt idx="0">
                  <c:v>% Sem.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HABITOS!$A$6:$A$11</c:f>
              <c:strCache>
                <c:ptCount val="6"/>
                <c:pt idx="0">
                  <c:v>Treino / movimento</c:v>
                </c:pt>
                <c:pt idx="1">
                  <c:v>Leitura 20min</c:v>
                </c:pt>
                <c:pt idx="2">
                  <c:v>Prospecção comercial</c:v>
                </c:pt>
                <c:pt idx="3">
                  <c:v>Registrar finanças</c:v>
                </c:pt>
                <c:pt idx="4">
                  <c:v>Sono 7h+</c:v>
                </c:pt>
                <c:pt idx="5">
                  <c:v>Deep work 2h</c:v>
                </c:pt>
              </c:strCache>
            </c:strRef>
          </c:cat>
          <c:val>
            <c:numRef>
              <c:f>HABITOS!$I$6:$I$11</c:f>
              <c:numCache>
                <c:formatCode>0%</c:formatCode>
                <c:ptCount val="6"/>
                <c:pt idx="0">
                  <c:v>0.714285714285714</c:v>
                </c:pt>
                <c:pt idx="1">
                  <c:v>0.714285714285714</c:v>
                </c:pt>
                <c:pt idx="2">
                  <c:v>0.571428571428571</c:v>
                </c:pt>
                <c:pt idx="3">
                  <c:v>0.857142857142857</c:v>
                </c:pt>
                <c:pt idx="4">
                  <c:v>0.714285714285714</c:v>
                </c:pt>
                <c:pt idx="5">
                  <c:v>0.571428571428571</c:v>
                </c:pt>
              </c:numCache>
            </c:numRef>
          </c:val>
        </c:ser>
        <c:axId val="11385452"/>
        <c:axId val="18621745"/>
      </c:radarChart>
      <c:catAx>
        <c:axId val="1138545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621745"/>
        <c:crosses val="autoZero"/>
        <c:auto val="1"/>
        <c:lblAlgn val="ctr"/>
        <c:lblOffset val="100"/>
        <c:noMultiLvlLbl val="0"/>
      </c:catAx>
      <c:valAx>
        <c:axId val="186217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38545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Gap até a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DASHBOARD!C25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DASHBOARD!$B$26:$B$28</c:f>
              <c:strCache>
                <c:ptCount val="3"/>
                <c:pt idx="0">
                  <c:v>Meta total</c:v>
                </c:pt>
                <c:pt idx="1">
                  <c:v>− Já feito</c:v>
                </c:pt>
                <c:pt idx="2">
                  <c:v>Gap restante</c:v>
                </c:pt>
              </c:strCache>
            </c:strRef>
          </c:cat>
          <c:val>
            <c:numRef>
              <c:f>DASHBOARD!$C$26:$C$28</c:f>
              <c:numCache>
                <c:formatCode>#,##0;\(#,##0\);\—</c:formatCode>
                <c:ptCount val="3"/>
                <c:pt idx="0">
                  <c:v>0</c:v>
                </c:pt>
                <c:pt idx="1">
                  <c:v>27205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DASHBOARD!D25</c:f>
              <c:strCache>
                <c:ptCount val="1"/>
                <c:pt idx="0">
                  <c:v>Alta</c:v>
                </c:pt>
              </c:strCache>
            </c:strRef>
          </c:tx>
          <c:spPr>
            <a:solidFill>
              <a:srgbClr val="2e9e5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DASHBOARD!$B$26:$B$28</c:f>
              <c:strCache>
                <c:ptCount val="3"/>
                <c:pt idx="0">
                  <c:v>Meta total</c:v>
                </c:pt>
                <c:pt idx="1">
                  <c:v>− Já feito</c:v>
                </c:pt>
                <c:pt idx="2">
                  <c:v>Gap restante</c:v>
                </c:pt>
              </c:strCache>
            </c:strRef>
          </c:cat>
          <c:val>
            <c:numRef>
              <c:f>DASHBOARD!$D$26:$D$28</c:f>
              <c:numCache>
                <c:formatCode>#,##0;\(#,##0\);\—</c:formatCode>
                <c:ptCount val="3"/>
                <c:pt idx="0">
                  <c:v>75012</c:v>
                </c:pt>
                <c:pt idx="1">
                  <c:v>0</c:v>
                </c:pt>
                <c:pt idx="2">
                  <c:v>27205</c:v>
                </c:pt>
              </c:numCache>
            </c:numRef>
          </c:val>
        </c:ser>
        <c:ser>
          <c:idx val="2"/>
          <c:order val="2"/>
          <c:tx>
            <c:strRef>
              <c:f>DASHBOARD!E25</c:f>
              <c:strCache>
                <c:ptCount val="1"/>
                <c:pt idx="0">
                  <c:v>Baixa</c:v>
                </c:pt>
              </c:strCache>
            </c:strRef>
          </c:tx>
          <c:spPr>
            <a:solidFill>
              <a:srgbClr val="d953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DASHBOARD!$B$26:$B$28</c:f>
              <c:strCache>
                <c:ptCount val="3"/>
                <c:pt idx="0">
                  <c:v>Meta total</c:v>
                </c:pt>
                <c:pt idx="1">
                  <c:v>− Já feito</c:v>
                </c:pt>
                <c:pt idx="2">
                  <c:v>Gap restante</c:v>
                </c:pt>
              </c:strCache>
            </c:strRef>
          </c:cat>
          <c:val>
            <c:numRef>
              <c:f>DASHBOARD!$E$26:$E$28</c:f>
              <c:numCache>
                <c:formatCode>#,##0;\(#,##0\);\—</c:formatCode>
                <c:ptCount val="3"/>
                <c:pt idx="0">
                  <c:v>0</c:v>
                </c:pt>
                <c:pt idx="1">
                  <c:v>47807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71143122"/>
        <c:axId val="18399581"/>
      </c:barChart>
      <c:catAx>
        <c:axId val="711431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399581"/>
        <c:crosses val="autoZero"/>
        <c:auto val="1"/>
        <c:lblAlgn val="ctr"/>
        <c:lblOffset val="100"/>
        <c:noMultiLvlLbl val="0"/>
      </c:catAx>
      <c:valAx>
        <c:axId val="183995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1431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DASHBOARD!C35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c99c66"/>
            </a:solidFill>
            <a:ln w="15120">
              <a:solidFill>
                <a:srgbClr val="c99c6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5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DASHBOARD!$B$36:$B$41</c:f>
              <c:strCache>
                <c:ptCount val="6"/>
                <c:pt idx="0">
                  <c:v>OKR1</c:v>
                </c:pt>
                <c:pt idx="1">
                  <c:v>OKR2</c:v>
                </c:pt>
                <c:pt idx="2">
                  <c:v>OKR3</c:v>
                </c:pt>
                <c:pt idx="3">
                  <c:v>OKR4</c:v>
                </c:pt>
                <c:pt idx="4">
                  <c:v>OKR5</c:v>
                </c:pt>
                <c:pt idx="5">
                  <c:v>OKR6</c:v>
                </c:pt>
              </c:strCache>
            </c:strRef>
          </c:cat>
          <c:val>
            <c:numRef>
              <c:f>DASHBOARD!$C$36:$C$41</c:f>
              <c:numCache>
                <c:formatCode>#,##0.0;\(#,##0.0\);\—</c:formatCode>
                <c:ptCount val="6"/>
                <c:pt idx="0">
                  <c:v>51.7857142857143</c:v>
                </c:pt>
                <c:pt idx="1">
                  <c:v>48.3333333333333</c:v>
                </c:pt>
                <c:pt idx="2">
                  <c:v>40</c:v>
                </c:pt>
                <c:pt idx="3">
                  <c:v>58.3333333333333</c:v>
                </c:pt>
                <c:pt idx="4">
                  <c:v>41.3333333333333</c:v>
                </c:pt>
                <c:pt idx="5">
                  <c:v>60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311643"/>
        <c:axId val="68575553"/>
      </c:lineChart>
      <c:catAx>
        <c:axId val="573116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575553"/>
        <c:crosses val="autoZero"/>
        <c:auto val="1"/>
        <c:lblAlgn val="ctr"/>
        <c:lblOffset val="100"/>
        <c:noMultiLvlLbl val="0"/>
      </c:catAx>
      <c:valAx>
        <c:axId val="68575553"/>
        <c:scaling>
          <c:orientation val="minMax"/>
        </c:scaling>
        <c:delete val="0"/>
        <c:axPos val="l"/>
        <c:numFmt formatCode="#,##0.0;\(#,##0.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3116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</xdr:row>
      <xdr:rowOff>0</xdr:rowOff>
    </xdr:from>
    <xdr:to>
      <xdr:col>4</xdr:col>
      <xdr:colOff>412200</xdr:colOff>
      <xdr:row>24</xdr:row>
      <xdr:rowOff>21960</xdr:rowOff>
    </xdr:to>
    <xdr:graphicFrame>
      <xdr:nvGraphicFramePr>
        <xdr:cNvPr id="0" name="Chart 1"/>
        <xdr:cNvGraphicFramePr/>
      </xdr:nvGraphicFramePr>
      <xdr:xfrm>
        <a:off x="195480" y="208584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9</xdr:row>
      <xdr:rowOff>0</xdr:rowOff>
    </xdr:from>
    <xdr:to>
      <xdr:col>8</xdr:col>
      <xdr:colOff>754920</xdr:colOff>
      <xdr:row>24</xdr:row>
      <xdr:rowOff>21960</xdr:rowOff>
    </xdr:to>
    <xdr:graphicFrame>
      <xdr:nvGraphicFramePr>
        <xdr:cNvPr id="1" name="Chart 2"/>
        <xdr:cNvGraphicFramePr/>
      </xdr:nvGraphicFramePr>
      <xdr:xfrm>
        <a:off x="7307640" y="208584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23</xdr:row>
      <xdr:rowOff>0</xdr:rowOff>
    </xdr:from>
    <xdr:to>
      <xdr:col>9</xdr:col>
      <xdr:colOff>1114920</xdr:colOff>
      <xdr:row>34</xdr:row>
      <xdr:rowOff>110880</xdr:rowOff>
    </xdr:to>
    <xdr:graphicFrame>
      <xdr:nvGraphicFramePr>
        <xdr:cNvPr id="2" name="Chart 3"/>
        <xdr:cNvGraphicFramePr/>
      </xdr:nvGraphicFramePr>
      <xdr:xfrm>
        <a:off x="8730000" y="4753080"/>
        <a:ext cx="39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9</xdr:col>
      <xdr:colOff>1114920</xdr:colOff>
      <xdr:row>39</xdr:row>
      <xdr:rowOff>163440</xdr:rowOff>
    </xdr:to>
    <xdr:graphicFrame>
      <xdr:nvGraphicFramePr>
        <xdr:cNvPr id="3" name="Chart 4"/>
        <xdr:cNvGraphicFramePr/>
      </xdr:nvGraphicFramePr>
      <xdr:xfrm>
        <a:off x="8730000" y="6791400"/>
        <a:ext cx="3959640" cy="14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.2"/>
    <col collapsed="false" customWidth="true" hidden="false" outlineLevel="0" max="11" min="2" style="0" width="16"/>
    <col collapsed="false" customWidth="true" hidden="false" outlineLevel="0" max="12" min="12" style="0" width="3"/>
    <col collapsed="false" customWidth="true" hidden="true" outlineLevel="0" max="26" min="26" style="0" width="13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13.5" hidden="false" customHeight="true" outlineLevel="0" collapsed="false">
      <c r="A5" s="4"/>
      <c r="B5" s="5" t="s">
        <v>3</v>
      </c>
      <c r="C5" s="5"/>
      <c r="D5" s="5" t="s">
        <v>4</v>
      </c>
      <c r="E5" s="5"/>
      <c r="F5" s="5" t="s">
        <v>5</v>
      </c>
      <c r="G5" s="5"/>
      <c r="H5" s="5" t="s">
        <v>6</v>
      </c>
      <c r="I5" s="5"/>
      <c r="J5" s="5" t="s">
        <v>7</v>
      </c>
      <c r="K5" s="5"/>
      <c r="L5" s="4"/>
    </row>
    <row r="6" customFormat="false" ht="30" hidden="false" customHeight="true" outlineLevel="0" collapsed="false">
      <c r="A6" s="4"/>
      <c r="B6" s="6" t="n">
        <f aca="false">Z40</f>
        <v>0.499642857142857</v>
      </c>
      <c r="C6" s="6"/>
      <c r="D6" s="7" t="n">
        <f aca="false">Z41</f>
        <v>5</v>
      </c>
      <c r="E6" s="7"/>
      <c r="F6" s="8" t="n">
        <f aca="false">Z42</f>
        <v>0</v>
      </c>
      <c r="G6" s="8"/>
      <c r="H6" s="9" t="n">
        <f aca="false">Z43</f>
        <v>0.69047619047619</v>
      </c>
      <c r="I6" s="9"/>
      <c r="J6" s="10" t="n">
        <f aca="false">Z44</f>
        <v>6</v>
      </c>
      <c r="K6" s="10"/>
      <c r="L6" s="4"/>
    </row>
    <row r="7" customFormat="false" ht="12" hidden="false" customHeight="true" outlineLevel="0" collapsed="false">
      <c r="A7" s="4"/>
      <c r="B7" s="11"/>
      <c r="C7" s="11"/>
      <c r="D7" s="11" t="s">
        <v>8</v>
      </c>
      <c r="E7" s="11"/>
      <c r="F7" s="11"/>
      <c r="G7" s="11"/>
      <c r="H7" s="11"/>
      <c r="I7" s="11"/>
      <c r="J7" s="11"/>
      <c r="K7" s="11"/>
      <c r="L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customFormat="false" ht="15" hidden="false" customHeight="false" outlineLevel="0" collapsed="false">
      <c r="A9" s="4"/>
      <c r="B9" s="12" t="s">
        <v>9</v>
      </c>
      <c r="C9" s="4"/>
      <c r="D9" s="4"/>
      <c r="E9" s="4"/>
      <c r="F9" s="4"/>
      <c r="G9" s="12" t="s">
        <v>10</v>
      </c>
      <c r="H9" s="4"/>
      <c r="I9" s="4"/>
      <c r="J9" s="4"/>
      <c r="K9" s="4"/>
      <c r="L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customFormat="false" ht="15" hidden="false" customHeight="false" outlineLevel="0" collapsed="false">
      <c r="A24" s="4"/>
      <c r="B24" s="12" t="s">
        <v>11</v>
      </c>
      <c r="C24" s="4"/>
      <c r="D24" s="4"/>
      <c r="E24" s="4"/>
      <c r="F24" s="4"/>
      <c r="G24" s="4"/>
      <c r="H24" s="4"/>
      <c r="I24" s="4"/>
      <c r="J24" s="4"/>
      <c r="K24" s="4"/>
      <c r="L24" s="4"/>
      <c r="N24" s="13" t="s">
        <v>12</v>
      </c>
    </row>
    <row r="25" customFormat="false" ht="25.5" hidden="false" customHeight="true" outlineLevel="0" collapsed="false">
      <c r="A25" s="4"/>
      <c r="B25" s="14" t="s">
        <v>13</v>
      </c>
      <c r="C25" s="14" t="s">
        <v>14</v>
      </c>
      <c r="D25" s="14" t="s">
        <v>15</v>
      </c>
      <c r="E25" s="14" t="s">
        <v>16</v>
      </c>
      <c r="F25" s="14" t="s">
        <v>17</v>
      </c>
      <c r="G25" s="14" t="s">
        <v>18</v>
      </c>
      <c r="H25" s="4"/>
      <c r="I25" s="4"/>
      <c r="J25" s="4"/>
      <c r="K25" s="4"/>
      <c r="L25" s="4"/>
      <c r="N25" s="14" t="s">
        <v>19</v>
      </c>
      <c r="O25" s="14" t="s">
        <v>20</v>
      </c>
      <c r="P25" s="14" t="s">
        <v>21</v>
      </c>
      <c r="Q25" s="14" t="s">
        <v>22</v>
      </c>
      <c r="R25" s="14" t="s">
        <v>23</v>
      </c>
      <c r="S25" s="14" t="s">
        <v>24</v>
      </c>
      <c r="T25" s="14" t="s">
        <v>25</v>
      </c>
      <c r="U25" s="14" t="s">
        <v>26</v>
      </c>
      <c r="V25" s="14" t="s">
        <v>27</v>
      </c>
    </row>
    <row r="26" customFormat="false" ht="15" hidden="false" customHeight="false" outlineLevel="0" collapsed="false">
      <c r="A26" s="4"/>
      <c r="B26" s="15" t="s">
        <v>28</v>
      </c>
      <c r="C26" s="16" t="n">
        <v>0</v>
      </c>
      <c r="D26" s="16" t="n">
        <f aca="false">IF(G26&gt;=0,G26,0)</f>
        <v>75012</v>
      </c>
      <c r="E26" s="16" t="n">
        <f aca="false">IF(G26&lt;0,-G26,0)</f>
        <v>0</v>
      </c>
      <c r="F26" s="16" t="n">
        <f aca="false">G26</f>
        <v>75012</v>
      </c>
      <c r="G26" s="17" t="n">
        <f aca="false">SUM(OKRS!C6:C9)</f>
        <v>75012</v>
      </c>
      <c r="H26" s="4"/>
      <c r="I26" s="4"/>
      <c r="J26" s="4"/>
      <c r="K26" s="4"/>
      <c r="L26" s="4"/>
      <c r="N26" s="18" t="s">
        <v>29</v>
      </c>
      <c r="O26" s="19" t="n">
        <f aca="false">$Z$40*100</f>
        <v>49.9642857142857</v>
      </c>
      <c r="P26" s="20" t="n">
        <v>20</v>
      </c>
      <c r="Q26" s="20" t="n">
        <v>28</v>
      </c>
      <c r="R26" s="20" t="n">
        <v>35</v>
      </c>
      <c r="S26" s="20" t="n">
        <v>42</v>
      </c>
      <c r="T26" s="20" t="n">
        <v>48</v>
      </c>
      <c r="U26" s="20" t="n">
        <f aca="false">$Z$40*100</f>
        <v>49.9642857142857</v>
      </c>
      <c r="V26" s="21" t="str">
        <f aca="false">IF(P26=""," ",MID("▁▂▃▄▅▆▇█",MAX(1,MIN(8,ROUND((P26-(MIN(P26:U26)))/MAX(0.000000001,(MAX(P26:U26))-(MIN(P26:U26)))*7+1,0))),1))&amp;IF(Q26=""," ",MID("▁▂▃▄▅▆▇█",MAX(1,MIN(8,ROUND((Q26-(MIN(P26:U26)))/MAX(0.000000001,(MAX(P26:U26))-(MIN(P26:U26)))*7+1,0))),1))&amp;IF(R26=""," ",MID("▁▂▃▄▅▆▇█",MAX(1,MIN(8,ROUND((R26-(MIN(P26:U26)))/MAX(0.000000001,(MAX(P26:U26))-(MIN(P26:U26)))*7+1,0))),1))&amp;IF(S26=""," ",MID("▁▂▃▄▅▆▇█",MAX(1,MIN(8,ROUND((S26-(MIN(P26:U26)))/MAX(0.000000001,(MAX(P26:U26))-(MIN(P26:U26)))*7+1,0))),1))&amp;IF(T26=""," ",MID("▁▂▃▄▅▆▇█",MAX(1,MIN(8,ROUND((T26-(MIN(P26:U26)))/MAX(0.000000001,(MAX(P26:U26))-(MIN(P26:U26)))*7+1,0))),1))&amp;IF(U26=""," ",MID("▁▂▃▄▅▆▇█",MAX(1,MIN(8,ROUND((U26-(MIN(P26:U26)))/MAX(0.000000001,(MAX(P26:U26))-(MIN(P26:U26)))*7+1,0))),1))</f>
        <v>▁▃▅▆██</v>
      </c>
    </row>
    <row r="27" customFormat="false" ht="15" hidden="false" customHeight="false" outlineLevel="0" collapsed="false">
      <c r="A27" s="4"/>
      <c r="B27" s="15" t="s">
        <v>30</v>
      </c>
      <c r="C27" s="16" t="n">
        <f aca="false">IF(G27&gt;=0,F26,F26+G27)</f>
        <v>27205</v>
      </c>
      <c r="D27" s="16" t="n">
        <f aca="false">IF(G27&gt;=0,G27,0)</f>
        <v>0</v>
      </c>
      <c r="E27" s="16" t="n">
        <f aca="false">IF(G27&lt;0,-G27,0)</f>
        <v>47807</v>
      </c>
      <c r="F27" s="16" t="n">
        <f aca="false">F26+G27</f>
        <v>27205</v>
      </c>
      <c r="G27" s="17" t="n">
        <f aca="false">-SUM(OKRS!D6:D9)</f>
        <v>-47807</v>
      </c>
      <c r="H27" s="4"/>
      <c r="I27" s="4"/>
      <c r="J27" s="4"/>
      <c r="K27" s="4"/>
      <c r="L27" s="4"/>
      <c r="N27" s="18" t="s">
        <v>31</v>
      </c>
      <c r="O27" s="19" t="n">
        <f aca="false">$Z$41</f>
        <v>5</v>
      </c>
      <c r="P27" s="20" t="n">
        <v>1</v>
      </c>
      <c r="Q27" s="20" t="n">
        <v>2</v>
      </c>
      <c r="R27" s="20" t="n">
        <v>3</v>
      </c>
      <c r="S27" s="20" t="n">
        <v>4</v>
      </c>
      <c r="T27" s="20" t="n">
        <v>5</v>
      </c>
      <c r="U27" s="20" t="n">
        <f aca="false">$Z$41</f>
        <v>5</v>
      </c>
      <c r="V27" s="21" t="str">
        <f aca="false">IF(P27=""," ",MID("▁▂▃▄▅▆▇█",MAX(1,MIN(8,ROUND((P27-(MIN(P27:U27)))/MAX(0.000000001,(MAX(P27:U27))-(MIN(P27:U27)))*7+1,0))),1))&amp;IF(Q27=""," ",MID("▁▂▃▄▅▆▇█",MAX(1,MIN(8,ROUND((Q27-(MIN(P27:U27)))/MAX(0.000000001,(MAX(P27:U27))-(MIN(P27:U27)))*7+1,0))),1))&amp;IF(R27=""," ",MID("▁▂▃▄▅▆▇█",MAX(1,MIN(8,ROUND((R27-(MIN(P27:U27)))/MAX(0.000000001,(MAX(P27:U27))-(MIN(P27:U27)))*7+1,0))),1))&amp;IF(S27=""," ",MID("▁▂▃▄▅▆▇█",MAX(1,MIN(8,ROUND((S27-(MIN(P27:U27)))/MAX(0.000000001,(MAX(P27:U27))-(MIN(P27:U27)))*7+1,0))),1))&amp;IF(T27=""," ",MID("▁▂▃▄▅▆▇█",MAX(1,MIN(8,ROUND((T27-(MIN(P27:U27)))/MAX(0.000000001,(MAX(P27:U27))-(MIN(P27:U27)))*7+1,0))),1))&amp;IF(U27=""," ",MID("▁▂▃▄▅▆▇█",MAX(1,MIN(8,ROUND((U27-(MIN(P27:U27)))/MAX(0.000000001,(MAX(P27:U27))-(MIN(P27:U27)))*7+1,0))),1))</f>
        <v>▁▃▅▆██</v>
      </c>
    </row>
    <row r="28" customFormat="false" ht="15" hidden="false" customHeight="false" outlineLevel="0" collapsed="false">
      <c r="A28" s="4"/>
      <c r="B28" s="15" t="s">
        <v>32</v>
      </c>
      <c r="C28" s="16" t="n">
        <v>0</v>
      </c>
      <c r="D28" s="16" t="n">
        <f aca="false">IF(G28&gt;=0,G28,0)</f>
        <v>27205</v>
      </c>
      <c r="E28" s="16" t="n">
        <f aca="false">IF(G28&lt;0,-G28,0)</f>
        <v>0</v>
      </c>
      <c r="F28" s="16" t="n">
        <f aca="false">G28</f>
        <v>27205</v>
      </c>
      <c r="G28" s="17" t="n">
        <f aca="false">SUM(OKRS!C6:C9)-SUM(OKRS!D6:D9)</f>
        <v>27205</v>
      </c>
      <c r="H28" s="4"/>
      <c r="I28" s="4"/>
      <c r="J28" s="4"/>
      <c r="K28" s="4"/>
      <c r="L28" s="4"/>
      <c r="N28" s="18" t="s">
        <v>33</v>
      </c>
      <c r="O28" s="19" t="n">
        <f aca="false">$Z$43*100</f>
        <v>69.047619047619</v>
      </c>
      <c r="P28" s="20" t="n">
        <v>40</v>
      </c>
      <c r="Q28" s="20" t="n">
        <v>48</v>
      </c>
      <c r="R28" s="20" t="n">
        <v>55</v>
      </c>
      <c r="S28" s="20" t="n">
        <v>60</v>
      </c>
      <c r="T28" s="20" t="n">
        <v>65</v>
      </c>
      <c r="U28" s="20" t="n">
        <f aca="false">$Z$43*100</f>
        <v>69.047619047619</v>
      </c>
      <c r="V28" s="21" t="str">
        <f aca="false">IF(P28=""," ",MID("▁▂▃▄▅▆▇█",MAX(1,MIN(8,ROUND((P28-(MIN(P28:U28)))/MAX(0.000000001,(MAX(P28:U28))-(MIN(P28:U28)))*7+1,0))),1))&amp;IF(Q28=""," ",MID("▁▂▃▄▅▆▇█",MAX(1,MIN(8,ROUND((Q28-(MIN(P28:U28)))/MAX(0.000000001,(MAX(P28:U28))-(MIN(P28:U28)))*7+1,0))),1))&amp;IF(R28=""," ",MID("▁▂▃▄▅▆▇█",MAX(1,MIN(8,ROUND((R28-(MIN(P28:U28)))/MAX(0.000000001,(MAX(P28:U28))-(MIN(P28:U28)))*7+1,0))),1))&amp;IF(S28=""," ",MID("▁▂▃▄▅▆▇█",MAX(1,MIN(8,ROUND((S28-(MIN(P28:U28)))/MAX(0.000000001,(MAX(P28:U28))-(MIN(P28:U28)))*7+1,0))),1))&amp;IF(T28=""," ",MID("▁▂▃▄▅▆▇█",MAX(1,MIN(8,ROUND((T28-(MIN(P28:U28)))/MAX(0.000000001,(MAX(P28:U28))-(MIN(P28:U28)))*7+1,0))),1))&amp;IF(U28=""," ",MID("▁▂▃▄▅▆▇█",MAX(1,MIN(8,ROUND((U28-(MIN(P28:U28)))/MAX(0.000000001,(MAX(P28:U28))-(MIN(P28:U28)))*7+1,0))),1))</f>
        <v>▁▃▅▆▇█</v>
      </c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customFormat="false" ht="15" hidden="false" customHeight="false" outlineLevel="0" collapsed="false">
      <c r="A34" s="4"/>
      <c r="B34" s="12" t="s">
        <v>34</v>
      </c>
      <c r="C34" s="4"/>
      <c r="D34" s="4"/>
      <c r="E34" s="4"/>
      <c r="F34" s="4"/>
      <c r="G34" s="4"/>
      <c r="H34" s="4"/>
      <c r="I34" s="4"/>
      <c r="J34" s="4"/>
      <c r="K34" s="4"/>
      <c r="L34" s="4"/>
    </row>
    <row r="35" customFormat="false" ht="25.5" hidden="false" customHeight="true" outlineLevel="0" collapsed="false">
      <c r="A35" s="4"/>
      <c r="B35" s="14" t="s">
        <v>35</v>
      </c>
      <c r="C35" s="14" t="s">
        <v>36</v>
      </c>
      <c r="D35" s="22" t="s">
        <v>27</v>
      </c>
      <c r="E35" s="4"/>
      <c r="F35" s="4"/>
      <c r="G35" s="4"/>
      <c r="H35" s="4"/>
      <c r="I35" s="4"/>
      <c r="J35" s="4"/>
      <c r="K35" s="4"/>
      <c r="L35" s="4"/>
    </row>
    <row r="36" customFormat="false" ht="15" hidden="false" customHeight="false" outlineLevel="0" collapsed="false">
      <c r="A36" s="4"/>
      <c r="B36" s="23" t="s">
        <v>37</v>
      </c>
      <c r="C36" s="24" t="n">
        <f aca="false">OKRS!E6*100</f>
        <v>51.7857142857143</v>
      </c>
      <c r="D36" s="25" t="str">
        <f aca="false">IF(OR(C36="",NOT(ISNUMBER(C36))),"",REPT("▬",MAX(1,ROUND((C36-(MIN(C36:C41)))/MAX(0.000000001,(MAX(C36:C41))-(MIN(C36:C41)))*10,0))))</f>
        <v>▬▬▬▬▬▬</v>
      </c>
      <c r="E36" s="4"/>
      <c r="F36" s="4"/>
      <c r="G36" s="4"/>
      <c r="H36" s="4"/>
      <c r="I36" s="4"/>
      <c r="J36" s="4"/>
      <c r="K36" s="4"/>
      <c r="L36" s="4"/>
    </row>
    <row r="37" customFormat="false" ht="15" hidden="false" customHeight="false" outlineLevel="0" collapsed="false">
      <c r="A37" s="4"/>
      <c r="B37" s="23" t="s">
        <v>38</v>
      </c>
      <c r="C37" s="24" t="n">
        <f aca="false">OKRS!E7*100</f>
        <v>48.3333333333333</v>
      </c>
      <c r="D37" s="25" t="str">
        <f aca="false">IF(OR(C37="",NOT(ISNUMBER(C37))),"",REPT("▬",MAX(1,ROUND((C37-(MIN(C36:C41)))/MAX(0.000000001,(MAX(C36:C41))-(MIN(C36:C41)))*10,0))))</f>
        <v>▬▬▬▬</v>
      </c>
      <c r="E37" s="4"/>
      <c r="F37" s="4"/>
      <c r="G37" s="4"/>
      <c r="H37" s="4"/>
      <c r="I37" s="4"/>
      <c r="J37" s="4"/>
      <c r="K37" s="4"/>
      <c r="L37" s="4"/>
    </row>
    <row r="38" customFormat="false" ht="15" hidden="false" customHeight="false" outlineLevel="0" collapsed="false">
      <c r="A38" s="4"/>
      <c r="B38" s="23" t="s">
        <v>39</v>
      </c>
      <c r="C38" s="24" t="n">
        <f aca="false">OKRS!E8*100</f>
        <v>40</v>
      </c>
      <c r="D38" s="25" t="str">
        <f aca="false">IF(OR(C38="",NOT(ISNUMBER(C38))),"",REPT("▬",MAX(1,ROUND((C38-(MIN(C36:C41)))/MAX(0.000000001,(MAX(C36:C41))-(MIN(C36:C41)))*10,0))))</f>
        <v>▬</v>
      </c>
      <c r="E38" s="4"/>
      <c r="F38" s="4"/>
      <c r="G38" s="4"/>
      <c r="H38" s="4"/>
      <c r="I38" s="4"/>
      <c r="J38" s="4"/>
      <c r="K38" s="4"/>
      <c r="L38" s="4"/>
    </row>
    <row r="39" customFormat="false" ht="15" hidden="false" customHeight="false" outlineLevel="0" collapsed="false">
      <c r="A39" s="4"/>
      <c r="B39" s="23" t="s">
        <v>40</v>
      </c>
      <c r="C39" s="24" t="n">
        <f aca="false">OKRS!E9*100</f>
        <v>58.3333333333333</v>
      </c>
      <c r="D39" s="25" t="str">
        <f aca="false">IF(OR(C39="",NOT(ISNUMBER(C39))),"",REPT("▬",MAX(1,ROUND((C39-(MIN(C36:C41)))/MAX(0.000000001,(MAX(C36:C41))-(MIN(C36:C41)))*10,0))))</f>
        <v>▬▬▬▬▬▬▬▬▬</v>
      </c>
      <c r="E39" s="4"/>
      <c r="F39" s="4"/>
      <c r="G39" s="4"/>
      <c r="H39" s="4"/>
      <c r="I39" s="4"/>
      <c r="J39" s="4"/>
      <c r="K39" s="4"/>
      <c r="L39" s="4"/>
    </row>
    <row r="40" customFormat="false" ht="15" hidden="false" customHeight="false" outlineLevel="0" collapsed="false">
      <c r="A40" s="4"/>
      <c r="B40" s="23" t="s">
        <v>41</v>
      </c>
      <c r="C40" s="24" t="n">
        <f aca="false">OKRS!E10*100</f>
        <v>41.3333333333333</v>
      </c>
      <c r="D40" s="25" t="str">
        <f aca="false">IF(OR(C40="",NOT(ISNUMBER(C40))),"",REPT("▬",MAX(1,ROUND((C40-(MIN(C36:C41)))/MAX(0.000000001,(MAX(C36:C41))-(MIN(C36:C41)))*10,0))))</f>
        <v>▬</v>
      </c>
      <c r="E40" s="4"/>
      <c r="F40" s="4"/>
      <c r="G40" s="4"/>
      <c r="H40" s="4"/>
      <c r="I40" s="4"/>
      <c r="J40" s="4"/>
      <c r="K40" s="4"/>
      <c r="L40" s="4"/>
      <c r="Z40" s="26" t="n">
        <f aca="false">AVERAGE(OKRS!E6:E11)</f>
        <v>0.499642857142857</v>
      </c>
    </row>
    <row r="41" customFormat="false" ht="15" hidden="false" customHeight="false" outlineLevel="0" collapsed="false">
      <c r="A41" s="4"/>
      <c r="B41" s="23" t="s">
        <v>42</v>
      </c>
      <c r="C41" s="24" t="n">
        <f aca="false">OKRS!E11*100</f>
        <v>60</v>
      </c>
      <c r="D41" s="25" t="str">
        <f aca="false">IF(OR(C41="",NOT(ISNUMBER(C41))),"",REPT("▬",MAX(1,ROUND((C41-(MIN(C36:C41)))/MAX(0.000000001,(MAX(C36:C41))-(MIN(C36:C41)))*10,0))))</f>
        <v>▬▬▬▬▬▬▬▬▬▬</v>
      </c>
      <c r="E41" s="4"/>
      <c r="F41" s="4"/>
      <c r="G41" s="4"/>
      <c r="H41" s="4"/>
      <c r="I41" s="4"/>
      <c r="J41" s="4"/>
      <c r="K41" s="4"/>
      <c r="L41" s="4"/>
      <c r="Z41" s="27" t="n">
        <f aca="false">COUNTIF(OKRS!H6:H11,"🟢 no ritmo")</f>
        <v>5</v>
      </c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Z42" s="27" t="n">
        <f aca="false">COUNTIF(OKRS!H6:H11,"🔴 fora do ritmo")</f>
        <v>0</v>
      </c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Z43" s="26" t="n">
        <f aca="false">AVERAGE(HABITOS!I6:I11)</f>
        <v>0.69047619047619</v>
      </c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Z44" s="27" t="n">
        <f aca="false">COUNTA(OKRS!A6:A11)</f>
        <v>6</v>
      </c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</sheetData>
  <mergeCells count="18">
    <mergeCell ref="A1:L1"/>
    <mergeCell ref="A2:L2"/>
    <mergeCell ref="A3:L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</mergeCells>
  <conditionalFormatting sqref="G26:G28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O26:O28">
    <cfRule type="dataBar" priority="4">
      <dataBar showValue="1" minLength="10" maxLength="90">
        <cfvo type="min" val="0"/>
        <cfvo type="max" val="0"/>
        <color rgb="FFC99C66"/>
      </dataBar>
      <extLst>
        <ext xmlns:x14="http://schemas.microsoft.com/office/spreadsheetml/2009/9/main" uri="{B025F937-C7B1-47D3-B67F-A62EFF666E3E}">
          <x14:id>{A25DCF4F-B224-467D-A27D-96D1EE3E174E}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5DCF4F-B224-467D-A27D-96D1EE3E174E}">
            <x14:dataBar minLength="10" maxLength="90" axisPosition="none" gradient="true">
              <x14:cfvo type="min"/>
              <x14:cfvo type="max"/>
              <x14:negativeFillColor rgb="FFC99C66"/>
              <x14:axisColor rgb="FF000000"/>
            </x14:dataBar>
          </x14:cfRule>
          <xm:sqref>O26:O28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4"/>
      <c r="J1" s="4"/>
    </row>
    <row r="2" customFormat="false" ht="30" hidden="false" customHeight="true" outlineLevel="0" collapsed="false">
      <c r="A2" s="2" t="s">
        <v>43</v>
      </c>
      <c r="B2" s="2"/>
      <c r="C2" s="2"/>
      <c r="D2" s="2"/>
      <c r="E2" s="2"/>
      <c r="F2" s="2"/>
      <c r="G2" s="2"/>
      <c r="H2" s="2"/>
      <c r="I2" s="4"/>
      <c r="J2" s="4"/>
    </row>
    <row r="3" customFormat="false" ht="18" hidden="false" customHeight="true" outlineLevel="0" collapsed="false">
      <c r="A3" s="3" t="s">
        <v>44</v>
      </c>
      <c r="B3" s="3"/>
      <c r="C3" s="3"/>
      <c r="D3" s="3"/>
      <c r="E3" s="3"/>
      <c r="F3" s="3"/>
      <c r="G3" s="3"/>
      <c r="H3" s="3"/>
      <c r="I3" s="4"/>
      <c r="J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</row>
    <row r="5" customFormat="false" ht="25.5" hidden="false" customHeight="true" outlineLevel="0" collapsed="false">
      <c r="A5" s="14" t="s">
        <v>45</v>
      </c>
      <c r="B5" s="14" t="s">
        <v>46</v>
      </c>
      <c r="C5" s="14" t="s">
        <v>47</v>
      </c>
      <c r="D5" s="14" t="s">
        <v>20</v>
      </c>
      <c r="E5" s="14" t="s">
        <v>48</v>
      </c>
      <c r="F5" s="14" t="s">
        <v>49</v>
      </c>
      <c r="G5" s="14" t="s">
        <v>50</v>
      </c>
      <c r="H5" s="14" t="s">
        <v>51</v>
      </c>
      <c r="I5" s="4"/>
      <c r="J5" s="4"/>
    </row>
    <row r="6" customFormat="false" ht="15" hidden="false" customHeight="false" outlineLevel="0" collapsed="false">
      <c r="A6" s="28" t="s">
        <v>52</v>
      </c>
      <c r="B6" s="29" t="n">
        <v>12000</v>
      </c>
      <c r="C6" s="28" t="n">
        <v>40000</v>
      </c>
      <c r="D6" s="30" t="n">
        <v>26500</v>
      </c>
      <c r="E6" s="31" t="n">
        <f aca="false">IFERROR((D6-B6)/(C6-B6),0)</f>
        <v>0.517857142857143</v>
      </c>
      <c r="F6" s="32" t="n">
        <v>46375</v>
      </c>
      <c r="G6" s="33" t="n">
        <f aca="false">IFERROR((D6-B6)/40,0)</f>
        <v>362.5</v>
      </c>
      <c r="H6" s="34" t="str">
        <f aca="true">IF((D6+G6*(F6-TODAY()))&gt;=C6,"🟢 no ritmo",IF((D6+G6*(F6-TODAY()))&gt;=C6*0.8,"🟡 risco","🔴 fora do ritmo"))</f>
        <v>🟢 no ritmo</v>
      </c>
      <c r="I6" s="4"/>
      <c r="J6" s="4"/>
    </row>
    <row r="7" customFormat="false" ht="15" hidden="false" customHeight="false" outlineLevel="0" collapsed="false">
      <c r="A7" s="28" t="s">
        <v>53</v>
      </c>
      <c r="B7" s="29" t="n">
        <v>0</v>
      </c>
      <c r="C7" s="28" t="n">
        <v>30000</v>
      </c>
      <c r="D7" s="30" t="n">
        <v>14500</v>
      </c>
      <c r="E7" s="31" t="n">
        <f aca="false">IFERROR((D7-B7)/(C7-B7),0)</f>
        <v>0.483333333333333</v>
      </c>
      <c r="F7" s="32" t="n">
        <v>46345</v>
      </c>
      <c r="G7" s="33" t="n">
        <f aca="false">IFERROR((D7-B7)/40,0)</f>
        <v>362.5</v>
      </c>
      <c r="H7" s="34" t="str">
        <f aca="true">IF((D7+G7*(F7-TODAY()))&gt;=C7,"🟢 no ritmo",IF((D7+G7*(F7-TODAY()))&gt;=C7*0.8,"🟡 risco","🔴 fora do ritmo"))</f>
        <v>🟢 no ritmo</v>
      </c>
      <c r="I7" s="4"/>
      <c r="J7" s="4"/>
    </row>
    <row r="8" customFormat="false" ht="15" hidden="false" customHeight="false" outlineLevel="0" collapsed="false">
      <c r="A8" s="28" t="s">
        <v>54</v>
      </c>
      <c r="B8" s="29" t="n">
        <v>8000</v>
      </c>
      <c r="C8" s="28" t="n">
        <v>5000</v>
      </c>
      <c r="D8" s="30" t="n">
        <v>6800</v>
      </c>
      <c r="E8" s="31" t="n">
        <f aca="false">IFERROR((D8-B8)/(C8-B8),0)</f>
        <v>0.4</v>
      </c>
      <c r="F8" s="32" t="n">
        <v>46315</v>
      </c>
      <c r="G8" s="33" t="n">
        <f aca="false">IFERROR((D8-B8)/40,0)</f>
        <v>-30</v>
      </c>
      <c r="H8" s="34" t="str">
        <f aca="true">IF((D8+G8*(F8-TODAY()))&gt;=C8,"🟢 no ritmo",IF((D8+G8*(F8-TODAY()))&gt;=C8*0.8,"🟡 risco","🔴 fora do ritmo"))</f>
        <v>🟡 risco</v>
      </c>
      <c r="I8" s="4"/>
      <c r="J8" s="4"/>
    </row>
    <row r="9" customFormat="false" ht="15" hidden="false" customHeight="false" outlineLevel="0" collapsed="false">
      <c r="A9" s="28" t="s">
        <v>55</v>
      </c>
      <c r="B9" s="29" t="n">
        <v>0</v>
      </c>
      <c r="C9" s="28" t="n">
        <v>12</v>
      </c>
      <c r="D9" s="30" t="n">
        <v>7</v>
      </c>
      <c r="E9" s="31" t="n">
        <f aca="false">IFERROR((D9-B9)/(C9-B9),0)</f>
        <v>0.583333333333333</v>
      </c>
      <c r="F9" s="32" t="n">
        <v>46385</v>
      </c>
      <c r="G9" s="33" t="n">
        <f aca="false">IFERROR((D9-B9)/40,0)</f>
        <v>0.175</v>
      </c>
      <c r="H9" s="34" t="str">
        <f aca="true">IF((D9+G9*(F9-TODAY()))&gt;=C9,"🟢 no ritmo",IF((D9+G9*(F9-TODAY()))&gt;=C9*0.8,"🟡 risco","🔴 fora do ritmo"))</f>
        <v>🟢 no ritmo</v>
      </c>
      <c r="I9" s="4"/>
      <c r="J9" s="4"/>
    </row>
    <row r="10" customFormat="false" ht="15" hidden="false" customHeight="false" outlineLevel="0" collapsed="false">
      <c r="A10" s="28" t="s">
        <v>56</v>
      </c>
      <c r="B10" s="29" t="n">
        <v>0</v>
      </c>
      <c r="C10" s="28" t="n">
        <v>15000</v>
      </c>
      <c r="D10" s="30" t="n">
        <v>6200</v>
      </c>
      <c r="E10" s="31" t="n">
        <f aca="false">IFERROR((D10-B10)/(C10-B10),0)</f>
        <v>0.413333333333333</v>
      </c>
      <c r="F10" s="32" t="n">
        <v>46425</v>
      </c>
      <c r="G10" s="33" t="n">
        <f aca="false">IFERROR((D10-B10)/40,0)</f>
        <v>155</v>
      </c>
      <c r="H10" s="34" t="str">
        <f aca="true">IF((D10+G10*(F10-TODAY()))&gt;=C10,"🟢 no ritmo",IF((D10+G10*(F10-TODAY()))&gt;=C10*0.8,"🟡 risco","🔴 fora do ritmo"))</f>
        <v>🟢 no ritmo</v>
      </c>
      <c r="I10" s="4"/>
      <c r="J10" s="4"/>
    </row>
    <row r="11" customFormat="false" ht="15" hidden="false" customHeight="false" outlineLevel="0" collapsed="false">
      <c r="A11" s="28" t="s">
        <v>57</v>
      </c>
      <c r="B11" s="29" t="n">
        <v>40</v>
      </c>
      <c r="C11" s="28" t="n">
        <v>70</v>
      </c>
      <c r="D11" s="30" t="n">
        <v>58</v>
      </c>
      <c r="E11" s="31" t="n">
        <f aca="false">IFERROR((D11-B11)/(C11-B11),0)</f>
        <v>0.6</v>
      </c>
      <c r="F11" s="32" t="n">
        <v>46305</v>
      </c>
      <c r="G11" s="33" t="n">
        <f aca="false">IFERROR((D11-B11)/40,0)</f>
        <v>0.45</v>
      </c>
      <c r="H11" s="34" t="str">
        <f aca="true">IF((D11+G11*(F11-TODAY()))&gt;=C11,"🟢 no ritmo",IF((D11+G11*(F11-TODAY()))&gt;=C11*0.8,"🟡 risco","🔴 fora do ritmo"))</f>
        <v>🟢 no ritmo</v>
      </c>
      <c r="I11" s="4"/>
      <c r="J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</row>
  </sheetData>
  <mergeCells count="3">
    <mergeCell ref="A1:H1"/>
    <mergeCell ref="A2:H2"/>
    <mergeCell ref="A3:H3"/>
  </mergeCells>
  <conditionalFormatting sqref="E6:E11">
    <cfRule type="dataBar" priority="2">
      <dataBar showValue="1" minLength="10" maxLength="90">
        <cfvo type="num" val="0"/>
        <cfvo type="num" val="1"/>
        <color rgb="FF2E9E5B"/>
      </dataBar>
      <extLst>
        <ext xmlns:x14="http://schemas.microsoft.com/office/spreadsheetml/2009/9/main" uri="{B025F937-C7B1-47D3-B67F-A62EFF666E3E}">
          <x14:id>{461328C8-8383-4416-9490-2E4ADED35ED4}</x14:id>
        </ext>
      </extLst>
    </cfRule>
  </conditionalFormatting>
  <conditionalFormatting sqref="H6:H11">
    <cfRule type="cellIs" priority="3" operator="equal" aboveAverage="0" equalAverage="0" bottom="0" percent="0" rank="0" text="" dxfId="2">
      <formula>"🔴 fora do ritmo"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1328C8-8383-4416-9490-2E4ADED35ED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E9E5B"/>
              <x14:axisColor rgb="FF000000"/>
            </x14:dataBar>
          </x14:cfRule>
          <xm:sqref>E6:E11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6"/>
    <col collapsed="false" customWidth="true" hidden="false" outlineLevel="0" max="9" min="9" style="0" width="11"/>
    <col collapsed="false" customWidth="true" hidden="false" outlineLevel="0" max="10" min="10" style="0" width="16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4"/>
      <c r="L1" s="4"/>
      <c r="M1" s="4"/>
      <c r="N1" s="4"/>
    </row>
    <row r="2" customFormat="false" ht="30" hidden="false" customHeight="true" outlineLevel="0" collapsed="false">
      <c r="A2" s="2" t="s">
        <v>58</v>
      </c>
      <c r="B2" s="2"/>
      <c r="C2" s="2"/>
      <c r="D2" s="2"/>
      <c r="E2" s="2"/>
      <c r="F2" s="2"/>
      <c r="G2" s="2"/>
      <c r="H2" s="2"/>
      <c r="I2" s="2"/>
      <c r="J2" s="2"/>
      <c r="K2" s="4"/>
      <c r="L2" s="4"/>
      <c r="M2" s="4"/>
      <c r="N2" s="4"/>
    </row>
    <row r="3" customFormat="false" ht="18" hidden="false" customHeight="true" outlineLevel="0" collapsed="false">
      <c r="A3" s="3" t="s">
        <v>59</v>
      </c>
      <c r="B3" s="3"/>
      <c r="C3" s="3"/>
      <c r="D3" s="3"/>
      <c r="E3" s="3"/>
      <c r="F3" s="3"/>
      <c r="G3" s="3"/>
      <c r="H3" s="3"/>
      <c r="I3" s="3"/>
      <c r="J3" s="3"/>
      <c r="K3" s="4"/>
      <c r="L3" s="4"/>
      <c r="M3" s="4"/>
      <c r="N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customFormat="false" ht="25.5" hidden="false" customHeight="true" outlineLevel="0" collapsed="false">
      <c r="A5" s="14" t="s">
        <v>60</v>
      </c>
      <c r="B5" s="14" t="s">
        <v>61</v>
      </c>
      <c r="C5" s="14" t="s">
        <v>62</v>
      </c>
      <c r="D5" s="14" t="s">
        <v>63</v>
      </c>
      <c r="E5" s="14" t="s">
        <v>64</v>
      </c>
      <c r="F5" s="14" t="s">
        <v>65</v>
      </c>
      <c r="G5" s="14" t="s">
        <v>66</v>
      </c>
      <c r="H5" s="14" t="s">
        <v>67</v>
      </c>
      <c r="I5" s="14" t="s">
        <v>68</v>
      </c>
      <c r="J5" s="14" t="s">
        <v>69</v>
      </c>
      <c r="K5" s="4"/>
      <c r="L5" s="4"/>
      <c r="M5" s="4"/>
      <c r="N5" s="4"/>
    </row>
    <row r="6" customFormat="false" ht="15" hidden="false" customHeight="false" outlineLevel="0" collapsed="false">
      <c r="A6" s="28" t="s">
        <v>70</v>
      </c>
      <c r="B6" s="35" t="n">
        <v>1</v>
      </c>
      <c r="C6" s="35" t="n">
        <v>1</v>
      </c>
      <c r="D6" s="35"/>
      <c r="E6" s="35" t="n">
        <v>1</v>
      </c>
      <c r="F6" s="35" t="n">
        <v>1</v>
      </c>
      <c r="G6" s="35"/>
      <c r="H6" s="35" t="n">
        <v>1</v>
      </c>
      <c r="I6" s="36" t="n">
        <f aca="false">COUNTIF(B6:H6,1)/7</f>
        <v>0.714285714285714</v>
      </c>
      <c r="J6" s="15" t="str">
        <f aca="false">IF(I6&gt;=0.8,"🔥 forte",IF(I6&gt;=0.5,"ok","⚠ frágil"))</f>
        <v>ok</v>
      </c>
      <c r="K6" s="4"/>
      <c r="L6" s="4"/>
      <c r="M6" s="4"/>
      <c r="N6" s="4"/>
    </row>
    <row r="7" customFormat="false" ht="15" hidden="false" customHeight="false" outlineLevel="0" collapsed="false">
      <c r="A7" s="28" t="s">
        <v>71</v>
      </c>
      <c r="B7" s="35" t="n">
        <v>1</v>
      </c>
      <c r="C7" s="35"/>
      <c r="D7" s="35" t="n">
        <v>1</v>
      </c>
      <c r="E7" s="35" t="n">
        <v>1</v>
      </c>
      <c r="F7" s="35"/>
      <c r="G7" s="35" t="n">
        <v>1</v>
      </c>
      <c r="H7" s="35" t="n">
        <v>1</v>
      </c>
      <c r="I7" s="36" t="n">
        <f aca="false">COUNTIF(B7:H7,1)/7</f>
        <v>0.714285714285714</v>
      </c>
      <c r="J7" s="15" t="str">
        <f aca="false">IF(I7&gt;=0.8,"🔥 forte",IF(I7&gt;=0.5,"ok","⚠ frágil"))</f>
        <v>ok</v>
      </c>
      <c r="K7" s="4"/>
      <c r="L7" s="4"/>
      <c r="M7" s="4"/>
      <c r="N7" s="4"/>
    </row>
    <row r="8" customFormat="false" ht="15" hidden="false" customHeight="false" outlineLevel="0" collapsed="false">
      <c r="A8" s="28" t="s">
        <v>72</v>
      </c>
      <c r="B8" s="35" t="n">
        <v>1</v>
      </c>
      <c r="C8" s="35" t="n">
        <v>1</v>
      </c>
      <c r="D8" s="35" t="n">
        <v>1</v>
      </c>
      <c r="E8" s="35"/>
      <c r="F8" s="35" t="n">
        <v>1</v>
      </c>
      <c r="G8" s="35"/>
      <c r="H8" s="35"/>
      <c r="I8" s="36" t="n">
        <f aca="false">COUNTIF(B8:H8,1)/7</f>
        <v>0.571428571428571</v>
      </c>
      <c r="J8" s="15" t="str">
        <f aca="false">IF(I8&gt;=0.8,"🔥 forte",IF(I8&gt;=0.5,"ok","⚠ frágil"))</f>
        <v>ok</v>
      </c>
      <c r="K8" s="4"/>
      <c r="L8" s="4"/>
      <c r="M8" s="4"/>
      <c r="N8" s="4"/>
    </row>
    <row r="9" customFormat="false" ht="15" hidden="false" customHeight="false" outlineLevel="0" collapsed="false">
      <c r="A9" s="28" t="s">
        <v>73</v>
      </c>
      <c r="B9" s="35" t="n">
        <v>1</v>
      </c>
      <c r="C9" s="35" t="n">
        <v>1</v>
      </c>
      <c r="D9" s="35" t="n">
        <v>1</v>
      </c>
      <c r="E9" s="35" t="n">
        <v>1</v>
      </c>
      <c r="F9" s="35" t="n">
        <v>1</v>
      </c>
      <c r="G9" s="35" t="n">
        <v>1</v>
      </c>
      <c r="H9" s="35"/>
      <c r="I9" s="36" t="n">
        <f aca="false">COUNTIF(B9:H9,1)/7</f>
        <v>0.857142857142857</v>
      </c>
      <c r="J9" s="15" t="str">
        <f aca="false">IF(I9&gt;=0.8,"🔥 forte",IF(I9&gt;=0.5,"ok","⚠ frágil"))</f>
        <v>🔥 forte</v>
      </c>
      <c r="K9" s="4"/>
      <c r="L9" s="4"/>
      <c r="M9" s="4"/>
      <c r="N9" s="4"/>
    </row>
    <row r="10" customFormat="false" ht="15" hidden="false" customHeight="false" outlineLevel="0" collapsed="false">
      <c r="A10" s="28" t="s">
        <v>74</v>
      </c>
      <c r="B10" s="35"/>
      <c r="C10" s="35" t="n">
        <v>1</v>
      </c>
      <c r="D10" s="35" t="n">
        <v>1</v>
      </c>
      <c r="E10" s="35"/>
      <c r="F10" s="35" t="n">
        <v>1</v>
      </c>
      <c r="G10" s="35" t="n">
        <v>1</v>
      </c>
      <c r="H10" s="35" t="n">
        <v>1</v>
      </c>
      <c r="I10" s="36" t="n">
        <f aca="false">COUNTIF(B10:H10,1)/7</f>
        <v>0.714285714285714</v>
      </c>
      <c r="J10" s="15" t="str">
        <f aca="false">IF(I10&gt;=0.8,"🔥 forte",IF(I10&gt;=0.5,"ok","⚠ frágil"))</f>
        <v>ok</v>
      </c>
      <c r="K10" s="4"/>
      <c r="L10" s="4"/>
      <c r="M10" s="4"/>
      <c r="N10" s="4"/>
    </row>
    <row r="11" customFormat="false" ht="15" hidden="false" customHeight="false" outlineLevel="0" collapsed="false">
      <c r="A11" s="28" t="s">
        <v>75</v>
      </c>
      <c r="B11" s="35" t="n">
        <v>1</v>
      </c>
      <c r="C11" s="35" t="n">
        <v>1</v>
      </c>
      <c r="D11" s="35"/>
      <c r="E11" s="35" t="n">
        <v>1</v>
      </c>
      <c r="F11" s="35" t="n">
        <v>1</v>
      </c>
      <c r="G11" s="35"/>
      <c r="H11" s="35"/>
      <c r="I11" s="36" t="n">
        <f aca="false">COUNTIF(B11:H11,1)/7</f>
        <v>0.571428571428571</v>
      </c>
      <c r="J11" s="15" t="str">
        <f aca="false">IF(I11&gt;=0.8,"🔥 forte",IF(I11&gt;=0.5,"ok","⚠ frágil"))</f>
        <v>ok</v>
      </c>
      <c r="K11" s="4"/>
      <c r="L11" s="4"/>
      <c r="M11" s="4"/>
      <c r="N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</sheetData>
  <mergeCells count="3">
    <mergeCell ref="A1:J1"/>
    <mergeCell ref="A2:J2"/>
    <mergeCell ref="A3:J3"/>
  </mergeCells>
  <conditionalFormatting sqref="B6:H11">
    <cfRule type="iconSet" priority="2">
      <iconSet iconSet="3Symbols">
        <cfvo type="num" val="0"/>
        <cfvo type="num" val="1"/>
        <cfvo type="num" val="1"/>
      </iconSet>
    </cfRule>
  </conditionalFormatting>
  <conditionalFormatting sqref="I6:I11">
    <cfRule type="colorScale" priority="3">
      <colorScale>
        <cfvo type="num" val="0"/>
        <cfvo type="num" val="0.5"/>
        <cfvo type="num" val="1"/>
        <color rgb="FFD9534F"/>
        <color rgb="FFE0A94B"/>
        <color rgb="FF2E9E5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2026-07-22T19:18:37Z</dcterms:created>
  <dc:creator>openpyxl</dc:creator>
  <dc:description/>
  <dc:language>en-US</dc:language>
  <cp:lastModifiedBy/>
  <dcterms:modified xsi:type="dcterms:W3CDTF">2026-07-22T19:18:37Z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