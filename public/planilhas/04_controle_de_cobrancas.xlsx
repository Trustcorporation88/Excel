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BRAN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0A1322"/>
      <sz val="18"/>
    </font>
    <font>
      <name val="Calibri"/>
      <color rgb="005C6B82"/>
      <sz val="11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164" fontId="0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6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</cols>
  <sheetData>
    <row r="1" ht="28" customHeight="1">
      <c r="A1" s="1" t="inlineStr">
        <is>
          <t>Trust Excel · Resumo de Cobranças</t>
        </is>
      </c>
    </row>
    <row r="2">
      <c r="A2" s="2" t="inlineStr">
        <is>
          <t>Totais e fila de cobrança automática</t>
        </is>
      </c>
    </row>
    <row r="3"/>
    <row r="4">
      <c r="A4" s="3" t="inlineStr">
        <is>
          <t>Total em aberto</t>
        </is>
      </c>
      <c r="B4" s="4">
        <f>SUMIF(COBRANCAS!E:E,"Em aberto",COBRANCAS!C:C)</f>
        <v/>
      </c>
    </row>
    <row r="5">
      <c r="A5" s="3" t="inlineStr">
        <is>
          <t>Total atrasado</t>
        </is>
      </c>
      <c r="B5" s="4">
        <f>SUMIFS(COBRANCAS!C:C,COBRANCAS!E:E,"Em aberto",COBRANCAS!D:D,"&lt;"&amp;TODAY())</f>
        <v/>
      </c>
    </row>
    <row r="6">
      <c r="A6" s="3" t="inlineStr">
        <is>
          <t>Qtd atrasadas</t>
        </is>
      </c>
      <c r="B6" s="5">
        <f>COUNTIFS(COBRANCAS!E:E,"Em aberto",COBRANCAS!D:D,"&lt;"&amp;TODAY())</f>
        <v/>
      </c>
    </row>
    <row r="7">
      <c r="A7" s="3" t="inlineStr">
        <is>
          <t>A receber nos próximos 7 dias</t>
        </is>
      </c>
      <c r="B7" s="4">
        <f>SUMIFS(COBRANCAS!C:C,COBRANCAS!E:E,"Em aberto",COBRANCAS!D:D,"&gt;="&amp;TODAY(),COBRANCAS!D:D,"&lt;="&amp;TODAY()+7)</f>
        <v/>
      </c>
    </row>
    <row r="8"/>
    <row r="9"/>
    <row r="10">
      <c r="A10" t="inlineStr">
        <is>
          <t>Ritual: toda segunda, filtrar Status=ATRASADO e cobrar. 10 minutos que pagam o mês.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2" customWidth="1" min="3" max="3"/>
    <col width="13" customWidth="1" min="4" max="4"/>
    <col width="1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Trust Excel · Controle de Cobranças</t>
        </is>
      </c>
    </row>
    <row r="2">
      <c r="A2" s="2" t="inlineStr">
        <is>
          <t>Status e atraso calculados automaticamente</t>
        </is>
      </c>
    </row>
    <row r="3"/>
    <row r="4">
      <c r="A4" s="6" t="inlineStr">
        <is>
          <t>Cliente</t>
        </is>
      </c>
      <c r="B4" s="6" t="inlineStr">
        <is>
          <t>Descrição</t>
        </is>
      </c>
      <c r="C4" s="6" t="inlineStr">
        <is>
          <t>Valor</t>
        </is>
      </c>
      <c r="D4" s="6" t="inlineStr">
        <is>
          <t>Vencimento</t>
        </is>
      </c>
      <c r="E4" s="6" t="inlineStr">
        <is>
          <t>Situação</t>
        </is>
      </c>
      <c r="F4" s="6" t="inlineStr">
        <is>
          <t>Status automático</t>
        </is>
      </c>
      <c r="G4" s="6" t="inlineStr">
        <is>
          <t>Dias de atraso</t>
        </is>
      </c>
      <c r="H4" s="6" t="inlineStr">
        <is>
          <t>Ação sugerida</t>
        </is>
      </c>
    </row>
    <row r="5">
      <c r="A5" s="5" t="inlineStr">
        <is>
          <t>Cliente Alpha</t>
        </is>
      </c>
      <c r="B5" s="5" t="inlineStr">
        <is>
          <t>Mensalidade SaaS</t>
        </is>
      </c>
      <c r="C5" s="4" t="n">
        <v>1800</v>
      </c>
      <c r="D5" s="7" t="n">
        <v>46213</v>
      </c>
      <c r="E5" s="5" t="inlineStr">
        <is>
          <t>Em aberto</t>
        </is>
      </c>
      <c r="F5" s="5">
        <f>IF(E5="Pago","Pago",IF(D5&lt;TODAY(),"ATRASADO",IF(D5&lt;=TODAY()+3,"Vence em breve","No prazo")))</f>
        <v/>
      </c>
      <c r="G5" s="5">
        <f>IF(OR(E5="Pago",D5&gt;=TODAY()),0,TODAY()-D5)</f>
        <v/>
      </c>
      <c r="H5" s="5">
        <f>IF(F5="ATRASADO","Cobrar hoje",IF(F5="Vence em breve","Lembrete amigável",IF(F5="Pago","—","Acompanhar")))</f>
        <v/>
      </c>
    </row>
    <row r="6">
      <c r="A6" s="5" t="inlineStr">
        <is>
          <t>Cliente Beta</t>
        </is>
      </c>
      <c r="B6" s="5" t="inlineStr">
        <is>
          <t>Projeto site</t>
        </is>
      </c>
      <c r="C6" s="4" t="n">
        <v>4500</v>
      </c>
      <c r="D6" s="7" t="n">
        <v>46222</v>
      </c>
      <c r="E6" s="5" t="inlineStr">
        <is>
          <t>Em aberto</t>
        </is>
      </c>
      <c r="F6" s="5">
        <f>IF(E6="Pago","Pago",IF(D6&lt;TODAY(),"ATRASADO",IF(D6&lt;=TODAY()+3,"Vence em breve","No prazo")))</f>
        <v/>
      </c>
      <c r="G6" s="5">
        <f>IF(OR(E6="Pago",D6&gt;=TODAY()),0,TODAY()-D6)</f>
        <v/>
      </c>
      <c r="H6" s="5">
        <f>IF(F6="ATRASADO","Cobrar hoje",IF(F6="Vence em breve","Lembrete amigável",IF(F6="Pago","—","Acompanhar")))</f>
        <v/>
      </c>
    </row>
    <row r="7">
      <c r="A7" s="5" t="inlineStr">
        <is>
          <t>Cliente Gama</t>
        </is>
      </c>
      <c r="B7" s="5" t="inlineStr">
        <is>
          <t>Consultoria</t>
        </is>
      </c>
      <c r="C7" s="4" t="n">
        <v>2200</v>
      </c>
      <c r="D7" s="7" t="n">
        <v>46227</v>
      </c>
      <c r="E7" s="5" t="inlineStr">
        <is>
          <t>Em aberto</t>
        </is>
      </c>
      <c r="F7" s="5">
        <f>IF(E7="Pago","Pago",IF(D7&lt;TODAY(),"ATRASADO",IF(D7&lt;=TODAY()+3,"Vence em breve","No prazo")))</f>
        <v/>
      </c>
      <c r="G7" s="5">
        <f>IF(OR(E7="Pago",D7&gt;=TODAY()),0,TODAY()-D7)</f>
        <v/>
      </c>
      <c r="H7" s="5">
        <f>IF(F7="ATRASADO","Cobrar hoje",IF(F7="Vence em breve","Lembrete amigável",IF(F7="Pago","—","Acompanhar")))</f>
        <v/>
      </c>
    </row>
    <row r="8">
      <c r="A8" s="5" t="inlineStr">
        <is>
          <t>Cliente Delta</t>
        </is>
      </c>
      <c r="B8" s="5" t="inlineStr">
        <is>
          <t>Setup inicial</t>
        </is>
      </c>
      <c r="C8" s="4" t="n">
        <v>900</v>
      </c>
      <c r="D8" s="7" t="n">
        <v>46235</v>
      </c>
      <c r="E8" s="5" t="inlineStr">
        <is>
          <t>Em aberto</t>
        </is>
      </c>
      <c r="F8" s="5">
        <f>IF(E8="Pago","Pago",IF(D8&lt;TODAY(),"ATRASADO",IF(D8&lt;=TODAY()+3,"Vence em breve","No prazo")))</f>
        <v/>
      </c>
      <c r="G8" s="5">
        <f>IF(OR(E8="Pago",D8&gt;=TODAY()),0,TODAY()-D8)</f>
        <v/>
      </c>
      <c r="H8" s="5">
        <f>IF(F8="ATRASADO","Cobrar hoje",IF(F8="Vence em breve","Lembrete amigável",IF(F8="Pago","—","Acompanhar")))</f>
        <v/>
      </c>
    </row>
    <row r="9">
      <c r="A9" s="5" t="inlineStr">
        <is>
          <t>Cliente Épsilon</t>
        </is>
      </c>
      <c r="B9" s="5" t="inlineStr">
        <is>
          <t>Suporte mensal</t>
        </is>
      </c>
      <c r="C9" s="4" t="n">
        <v>650</v>
      </c>
      <c r="D9" s="7" t="n">
        <v>46224</v>
      </c>
      <c r="E9" s="5" t="inlineStr">
        <is>
          <t>Pago</t>
        </is>
      </c>
      <c r="F9" s="5">
        <f>IF(E9="Pago","Pago",IF(D9&lt;TODAY(),"ATRASADO",IF(D9&lt;=TODAY()+3,"Vence em breve","No prazo")))</f>
        <v/>
      </c>
      <c r="G9" s="5">
        <f>IF(OR(E9="Pago",D9&gt;=TODAY()),0,TODAY()-D9)</f>
        <v/>
      </c>
      <c r="H9" s="5">
        <f>IF(F9="ATRASADO","Cobrar hoje",IF(F9="Vence em breve","Lembrete amigável",IF(F9="Pago","—","Acompanhar")))</f>
        <v/>
      </c>
    </row>
    <row r="10">
      <c r="A10" s="5" t="inlineStr">
        <is>
          <t>Cliente Zeta</t>
        </is>
      </c>
      <c r="B10" s="5" t="inlineStr">
        <is>
          <t>Pacote marketing</t>
        </is>
      </c>
      <c r="C10" s="4" t="n">
        <v>3200</v>
      </c>
      <c r="D10" s="7" t="n">
        <v>46205</v>
      </c>
      <c r="E10" s="5" t="inlineStr">
        <is>
          <t>Em aberto</t>
        </is>
      </c>
      <c r="F10" s="5">
        <f>IF(E10="Pago","Pago",IF(D10&lt;TODAY(),"ATRASADO",IF(D10&lt;=TODAY()+3,"Vence em breve","No prazo")))</f>
        <v/>
      </c>
      <c r="G10" s="5">
        <f>IF(OR(E10="Pago",D10&gt;=TODAY()),0,TODAY()-D10)</f>
        <v/>
      </c>
      <c r="H10" s="5">
        <f>IF(F10="ATRASADO","Cobrar hoje",IF(F10="Vence em breve","Lembrete amigável",IF(F10="Pago","—","Acompanhar")))</f>
        <v/>
      </c>
    </row>
    <row r="11">
      <c r="A11" s="5" t="inlineStr">
        <is>
          <t>Cliente Ômega</t>
        </is>
      </c>
      <c r="B11" s="5" t="inlineStr">
        <is>
          <t>Treinamento</t>
        </is>
      </c>
      <c r="C11" s="4" t="n">
        <v>1500</v>
      </c>
      <c r="D11" s="7" t="n">
        <v>46230</v>
      </c>
      <c r="E11" s="5" t="inlineStr">
        <is>
          <t>Em aberto</t>
        </is>
      </c>
      <c r="F11" s="5">
        <f>IF(E11="Pago","Pago",IF(D11&lt;TODAY(),"ATRASADO",IF(D11&lt;=TODAY()+3,"Vence em breve","No prazo")))</f>
        <v/>
      </c>
      <c r="G11" s="5">
        <f>IF(OR(E11="Pago",D11&gt;=TODAY()),0,TODAY()-D11)</f>
        <v/>
      </c>
      <c r="H11" s="5">
        <f>IF(F11="ATRASADO","Cobrar hoje",IF(F11="Vence em breve","Lembrete amigável",IF(F11="Pago","—","Acompanhar")))</f>
        <v/>
      </c>
    </row>
    <row r="12">
      <c r="A12" s="5" t="n"/>
      <c r="B12" s="5" t="n"/>
      <c r="C12" s="4" t="n"/>
      <c r="D12" s="7" t="n"/>
      <c r="E12" s="5" t="n"/>
      <c r="F12" s="5">
        <f>IF(A12="","",IF(E12="Pago","Pago",IF(D12&lt;TODAY(),"ATRASADO",IF(D12&lt;=TODAY()+3,"Vence em breve","No prazo"))))</f>
        <v/>
      </c>
      <c r="G12" s="5">
        <f>IF(A12="","",IF(OR(E12="Pago",D12&gt;=TODAY()),0,TODAY()-D12))</f>
        <v/>
      </c>
      <c r="H12" s="5">
        <f>IF(A12="","",IF(F12="ATRASADO","Cobrar hoje",IF(F12="Vence em breve","Lembrete amigável",IF(F12="Pago","—","Acompanhar"))))</f>
        <v/>
      </c>
    </row>
    <row r="13">
      <c r="A13" s="5" t="n"/>
      <c r="B13" s="5" t="n"/>
      <c r="C13" s="4" t="n"/>
      <c r="D13" s="7" t="n"/>
      <c r="E13" s="5" t="n"/>
      <c r="F13" s="5">
        <f>IF(A13="","",IF(E13="Pago","Pago",IF(D13&lt;TODAY(),"ATRASADO",IF(D13&lt;=TODAY()+3,"Vence em breve","No prazo"))))</f>
        <v/>
      </c>
      <c r="G13" s="5">
        <f>IF(A13="","",IF(OR(E13="Pago",D13&gt;=TODAY()),0,TODAY()-D13))</f>
        <v/>
      </c>
      <c r="H13" s="5">
        <f>IF(A13="","",IF(F13="ATRASADO","Cobrar hoje",IF(F13="Vence em breve","Lembrete amigável",IF(F13="Pago","—","Acompanhar"))))</f>
        <v/>
      </c>
    </row>
    <row r="14">
      <c r="A14" s="5" t="n"/>
      <c r="B14" s="5" t="n"/>
      <c r="C14" s="4" t="n"/>
      <c r="D14" s="7" t="n"/>
      <c r="E14" s="5" t="n"/>
      <c r="F14" s="5">
        <f>IF(A14="","",IF(E14="Pago","Pago",IF(D14&lt;TODAY(),"ATRASADO",IF(D14&lt;=TODAY()+3,"Vence em breve","No prazo"))))</f>
        <v/>
      </c>
      <c r="G14" s="5">
        <f>IF(A14="","",IF(OR(E14="Pago",D14&gt;=TODAY()),0,TODAY()-D14))</f>
        <v/>
      </c>
      <c r="H14" s="5">
        <f>IF(A14="","",IF(F14="ATRASADO","Cobrar hoje",IF(F14="Vence em breve","Lembrete amigável",IF(F14="Pago","—","Acompanhar"))))</f>
        <v/>
      </c>
    </row>
    <row r="15">
      <c r="A15" s="5" t="n"/>
      <c r="B15" s="5" t="n"/>
      <c r="C15" s="4" t="n"/>
      <c r="D15" s="7" t="n"/>
      <c r="E15" s="5" t="n"/>
      <c r="F15" s="5">
        <f>IF(A15="","",IF(E15="Pago","Pago",IF(D15&lt;TODAY(),"ATRASADO",IF(D15&lt;=TODAY()+3,"Vence em breve","No prazo"))))</f>
        <v/>
      </c>
      <c r="G15" s="5">
        <f>IF(A15="","",IF(OR(E15="Pago",D15&gt;=TODAY()),0,TODAY()-D15))</f>
        <v/>
      </c>
      <c r="H15" s="5">
        <f>IF(A15="","",IF(F15="ATRASADO","Cobrar hoje",IF(F15="Vence em breve","Lembrete amigável",IF(F15="Pago","—","Acompanhar"))))</f>
        <v/>
      </c>
    </row>
    <row r="16">
      <c r="A16" s="5" t="n"/>
      <c r="B16" s="5" t="n"/>
      <c r="C16" s="4" t="n"/>
      <c r="D16" s="7" t="n"/>
      <c r="E16" s="5" t="n"/>
      <c r="F16" s="5">
        <f>IF(A16="","",IF(E16="Pago","Pago",IF(D16&lt;TODAY(),"ATRASADO",IF(D16&lt;=TODAY()+3,"Vence em breve","No prazo"))))</f>
        <v/>
      </c>
      <c r="G16" s="5">
        <f>IF(A16="","",IF(OR(E16="Pago",D16&gt;=TODAY()),0,TODAY()-D16))</f>
        <v/>
      </c>
      <c r="H16" s="5">
        <f>IF(A16="","",IF(F16="ATRASADO","Cobrar hoje",IF(F16="Vence em breve","Lembrete amigável",IF(F16="Pago","—","Acompanhar"))))</f>
        <v/>
      </c>
    </row>
    <row r="17">
      <c r="A17" s="5" t="n"/>
      <c r="B17" s="5" t="n"/>
      <c r="C17" s="4" t="n"/>
      <c r="D17" s="7" t="n"/>
      <c r="E17" s="5" t="n"/>
      <c r="F17" s="5">
        <f>IF(A17="","",IF(E17="Pago","Pago",IF(D17&lt;TODAY(),"ATRASADO",IF(D17&lt;=TODAY()+3,"Vence em breve","No prazo"))))</f>
        <v/>
      </c>
      <c r="G17" s="5">
        <f>IF(A17="","",IF(OR(E17="Pago",D17&gt;=TODAY()),0,TODAY()-D17))</f>
        <v/>
      </c>
      <c r="H17" s="5">
        <f>IF(A17="","",IF(F17="ATRASADO","Cobrar hoje",IF(F17="Vence em breve","Lembrete amigável",IF(F17="Pago","—","Acompanhar"))))</f>
        <v/>
      </c>
    </row>
    <row r="18">
      <c r="A18" s="5" t="n"/>
      <c r="B18" s="5" t="n"/>
      <c r="C18" s="4" t="n"/>
      <c r="D18" s="7" t="n"/>
      <c r="E18" s="5" t="n"/>
      <c r="F18" s="5">
        <f>IF(A18="","",IF(E18="Pago","Pago",IF(D18&lt;TODAY(),"ATRASADO",IF(D18&lt;=TODAY()+3,"Vence em breve","No prazo"))))</f>
        <v/>
      </c>
      <c r="G18" s="5">
        <f>IF(A18="","",IF(OR(E18="Pago",D18&gt;=TODAY()),0,TODAY()-D18))</f>
        <v/>
      </c>
      <c r="H18" s="5">
        <f>IF(A18="","",IF(F18="ATRASADO","Cobrar hoje",IF(F18="Vence em breve","Lembrete amigável",IF(F18="Pago","—","Acompanhar"))))</f>
        <v/>
      </c>
    </row>
    <row r="19">
      <c r="A19" s="5" t="n"/>
      <c r="B19" s="5" t="n"/>
      <c r="C19" s="4" t="n"/>
      <c r="D19" s="7" t="n"/>
      <c r="E19" s="5" t="n"/>
      <c r="F19" s="5">
        <f>IF(A19="","",IF(E19="Pago","Pago",IF(D19&lt;TODAY(),"ATRASADO",IF(D19&lt;=TODAY()+3,"Vence em breve","No prazo"))))</f>
        <v/>
      </c>
      <c r="G19" s="5">
        <f>IF(A19="","",IF(OR(E19="Pago",D19&gt;=TODAY()),0,TODAY()-D19))</f>
        <v/>
      </c>
      <c r="H19" s="5">
        <f>IF(A19="","",IF(F19="ATRASADO","Cobrar hoje",IF(F19="Vence em breve","Lembrete amigável",IF(F19="Pago","—","Acompanhar"))))</f>
        <v/>
      </c>
    </row>
    <row r="20">
      <c r="A20" s="5" t="n"/>
      <c r="B20" s="5" t="n"/>
      <c r="C20" s="4" t="n"/>
      <c r="D20" s="7" t="n"/>
      <c r="E20" s="5" t="n"/>
      <c r="F20" s="5">
        <f>IF(A20="","",IF(E20="Pago","Pago",IF(D20&lt;TODAY(),"ATRASADO",IF(D20&lt;=TODAY()+3,"Vence em breve","No prazo"))))</f>
        <v/>
      </c>
      <c r="G20" s="5">
        <f>IF(A20="","",IF(OR(E20="Pago",D20&gt;=TODAY()),0,TODAY()-D20))</f>
        <v/>
      </c>
      <c r="H20" s="5">
        <f>IF(A20="","",IF(F20="ATRASADO","Cobrar hoje",IF(F20="Vence em breve","Lembrete amigável",IF(F20="Pago","—","Acompanhar"))))</f>
        <v/>
      </c>
    </row>
    <row r="21">
      <c r="A21" s="5" t="n"/>
      <c r="B21" s="5" t="n"/>
      <c r="C21" s="4" t="n"/>
      <c r="D21" s="7" t="n"/>
      <c r="E21" s="5" t="n"/>
      <c r="F21" s="5">
        <f>IF(A21="","",IF(E21="Pago","Pago",IF(D21&lt;TODAY(),"ATRASADO",IF(D21&lt;=TODAY()+3,"Vence em breve","No prazo"))))</f>
        <v/>
      </c>
      <c r="G21" s="5">
        <f>IF(A21="","",IF(OR(E21="Pago",D21&gt;=TODAY()),0,TODAY()-D21))</f>
        <v/>
      </c>
      <c r="H21" s="5">
        <f>IF(A21="","",IF(F21="ATRASADO","Cobrar hoje",IF(F21="Vence em breve","Lembrete amigável",IF(F21="Pago","—","Acompanhar"))))</f>
        <v/>
      </c>
    </row>
    <row r="22">
      <c r="A22" s="5" t="n"/>
      <c r="B22" s="5" t="n"/>
      <c r="C22" s="4" t="n"/>
      <c r="D22" s="7" t="n"/>
      <c r="E22" s="5" t="n"/>
      <c r="F22" s="5">
        <f>IF(A22="","",IF(E22="Pago","Pago",IF(D22&lt;TODAY(),"ATRASADO",IF(D22&lt;=TODAY()+3,"Vence em breve","No prazo"))))</f>
        <v/>
      </c>
      <c r="G22" s="5">
        <f>IF(A22="","",IF(OR(E22="Pago",D22&gt;=TODAY()),0,TODAY()-D22))</f>
        <v/>
      </c>
      <c r="H22" s="5">
        <f>IF(A22="","",IF(F22="ATRASADO","Cobrar hoje",IF(F22="Vence em breve","Lembrete amigável",IF(F22="Pago","—","Acompanhar"))))</f>
        <v/>
      </c>
    </row>
    <row r="23">
      <c r="A23" s="5" t="n"/>
      <c r="B23" s="5" t="n"/>
      <c r="C23" s="4" t="n"/>
      <c r="D23" s="7" t="n"/>
      <c r="E23" s="5" t="n"/>
      <c r="F23" s="5">
        <f>IF(A23="","",IF(E23="Pago","Pago",IF(D23&lt;TODAY(),"ATRASADO",IF(D23&lt;=TODAY()+3,"Vence em breve","No prazo"))))</f>
        <v/>
      </c>
      <c r="G23" s="5">
        <f>IF(A23="","",IF(OR(E23="Pago",D23&gt;=TODAY()),0,TODAY()-D23))</f>
        <v/>
      </c>
      <c r="H23" s="5">
        <f>IF(A23="","",IF(F23="ATRASADO","Cobrar hoje",IF(F23="Vence em breve","Lembrete amigável",IF(F23="Pago","—","Acompanhar"))))</f>
        <v/>
      </c>
    </row>
    <row r="24">
      <c r="A24" s="5" t="n"/>
      <c r="B24" s="5" t="n"/>
      <c r="C24" s="4" t="n"/>
      <c r="D24" s="7" t="n"/>
      <c r="E24" s="5" t="n"/>
      <c r="F24" s="5">
        <f>IF(A24="","",IF(E24="Pago","Pago",IF(D24&lt;TODAY(),"ATRASADO",IF(D24&lt;=TODAY()+3,"Vence em breve","No prazo"))))</f>
        <v/>
      </c>
      <c r="G24" s="5">
        <f>IF(A24="","",IF(OR(E24="Pago",D24&gt;=TODAY()),0,TODAY()-D24))</f>
        <v/>
      </c>
      <c r="H24" s="5">
        <f>IF(A24="","",IF(F24="ATRASADO","Cobrar hoje",IF(F24="Vence em breve","Lembrete amigável",IF(F24="Pago","—","Acompanhar"))))</f>
        <v/>
      </c>
    </row>
    <row r="25">
      <c r="A25" s="5" t="n"/>
      <c r="B25" s="5" t="n"/>
      <c r="C25" s="4" t="n"/>
      <c r="D25" s="7" t="n"/>
      <c r="E25" s="5" t="n"/>
      <c r="F25" s="5">
        <f>IF(A25="","",IF(E25="Pago","Pago",IF(D25&lt;TODAY(),"ATRASADO",IF(D25&lt;=TODAY()+3,"Vence em breve","No prazo"))))</f>
        <v/>
      </c>
      <c r="G25" s="5">
        <f>IF(A25="","",IF(OR(E25="Pago",D25&gt;=TODAY()),0,TODAY()-D25))</f>
        <v/>
      </c>
      <c r="H25" s="5">
        <f>IF(A25="","",IF(F25="ATRASADO","Cobrar hoje",IF(F25="Vence em breve","Lembrete amigável",IF(F25="Pago","—","Acompanhar"))))</f>
        <v/>
      </c>
    </row>
    <row r="26">
      <c r="A26" s="5" t="n"/>
      <c r="B26" s="5" t="n"/>
      <c r="C26" s="4" t="n"/>
      <c r="D26" s="7" t="n"/>
      <c r="E26" s="5" t="n"/>
      <c r="F26" s="5">
        <f>IF(A26="","",IF(E26="Pago","Pago",IF(D26&lt;TODAY(),"ATRASADO",IF(D26&lt;=TODAY()+3,"Vence em breve","No prazo"))))</f>
        <v/>
      </c>
      <c r="G26" s="5">
        <f>IF(A26="","",IF(OR(E26="Pago",D26&gt;=TODAY()),0,TODAY()-D26))</f>
        <v/>
      </c>
      <c r="H26" s="5">
        <f>IF(A26="","",IF(F26="ATRASADO","Cobrar hoje",IF(F26="Vence em breve","Lembrete amigável",IF(F26="Pago","—","Acompanhar"))))</f>
        <v/>
      </c>
    </row>
    <row r="27">
      <c r="A27" s="5" t="n"/>
      <c r="B27" s="5" t="n"/>
      <c r="C27" s="4" t="n"/>
      <c r="D27" s="7" t="n"/>
      <c r="E27" s="5" t="n"/>
      <c r="F27" s="5">
        <f>IF(A27="","",IF(E27="Pago","Pago",IF(D27&lt;TODAY(),"ATRASADO",IF(D27&lt;=TODAY()+3,"Vence em breve","No prazo"))))</f>
        <v/>
      </c>
      <c r="G27" s="5">
        <f>IF(A27="","",IF(OR(E27="Pago",D27&gt;=TODAY()),0,TODAY()-D27))</f>
        <v/>
      </c>
      <c r="H27" s="5">
        <f>IF(A27="","",IF(F27="ATRASADO","Cobrar hoje",IF(F27="Vence em breve","Lembrete amigável",IF(F27="Pago","—","Acompanhar"))))</f>
        <v/>
      </c>
    </row>
    <row r="28">
      <c r="A28" s="5" t="n"/>
      <c r="B28" s="5" t="n"/>
      <c r="C28" s="4" t="n"/>
      <c r="D28" s="7" t="n"/>
      <c r="E28" s="5" t="n"/>
      <c r="F28" s="5">
        <f>IF(A28="","",IF(E28="Pago","Pago",IF(D28&lt;TODAY(),"ATRASADO",IF(D28&lt;=TODAY()+3,"Vence em breve","No prazo"))))</f>
        <v/>
      </c>
      <c r="G28" s="5">
        <f>IF(A28="","",IF(OR(E28="Pago",D28&gt;=TODAY()),0,TODAY()-D28))</f>
        <v/>
      </c>
      <c r="H28" s="5">
        <f>IF(A28="","",IF(F28="ATRASADO","Cobrar hoje",IF(F28="Vence em breve","Lembrete amigável",IF(F28="Pago","—","Acompanhar"))))</f>
        <v/>
      </c>
    </row>
    <row r="29">
      <c r="A29" s="5" t="n"/>
      <c r="B29" s="5" t="n"/>
      <c r="C29" s="4" t="n"/>
      <c r="D29" s="7" t="n"/>
      <c r="E29" s="5" t="n"/>
      <c r="F29" s="5">
        <f>IF(A29="","",IF(E29="Pago","Pago",IF(D29&lt;TODAY(),"ATRASADO",IF(D29&lt;=TODAY()+3,"Vence em breve","No prazo"))))</f>
        <v/>
      </c>
      <c r="G29" s="5">
        <f>IF(A29="","",IF(OR(E29="Pago",D29&gt;=TODAY()),0,TODAY()-D29))</f>
        <v/>
      </c>
      <c r="H29" s="5">
        <f>IF(A29="","",IF(F29="ATRASADO","Cobrar hoje",IF(F29="Vence em breve","Lembrete amigável",IF(F29="Pago","—","Acompanhar"))))</f>
        <v/>
      </c>
    </row>
    <row r="30">
      <c r="A30" s="5" t="n"/>
      <c r="B30" s="5" t="n"/>
      <c r="C30" s="4" t="n"/>
      <c r="D30" s="7" t="n"/>
      <c r="E30" s="5" t="n"/>
      <c r="F30" s="5">
        <f>IF(A30="","",IF(E30="Pago","Pago",IF(D30&lt;TODAY(),"ATRASADO",IF(D30&lt;=TODAY()+3,"Vence em breve","No prazo"))))</f>
        <v/>
      </c>
      <c r="G30" s="5">
        <f>IF(A30="","",IF(OR(E30="Pago",D30&gt;=TODAY()),0,TODAY()-D30))</f>
        <v/>
      </c>
      <c r="H30" s="5">
        <f>IF(A30="","",IF(F30="ATRASADO","Cobrar hoje",IF(F30="Vence em breve","Lembrete amigável",IF(F30="Pago","—","Acompanhar"))))</f>
        <v/>
      </c>
    </row>
    <row r="31">
      <c r="A31" s="5" t="n"/>
      <c r="B31" s="5" t="n"/>
      <c r="C31" s="4" t="n"/>
      <c r="D31" s="7" t="n"/>
      <c r="E31" s="5" t="n"/>
      <c r="F31" s="5">
        <f>IF(A31="","",IF(E31="Pago","Pago",IF(D31&lt;TODAY(),"ATRASADO",IF(D31&lt;=TODAY()+3,"Vence em breve","No prazo"))))</f>
        <v/>
      </c>
      <c r="G31" s="5">
        <f>IF(A31="","",IF(OR(E31="Pago",D31&gt;=TODAY()),0,TODAY()-D31))</f>
        <v/>
      </c>
      <c r="H31" s="5">
        <f>IF(A31="","",IF(F31="ATRASADO","Cobrar hoje",IF(F31="Vence em breve","Lembrete amigável",IF(F31="Pago","—","Acompanhar"))))</f>
        <v/>
      </c>
    </row>
    <row r="32">
      <c r="A32" s="5" t="n"/>
      <c r="B32" s="5" t="n"/>
      <c r="C32" s="4" t="n"/>
      <c r="D32" s="7" t="n"/>
      <c r="E32" s="5" t="n"/>
      <c r="F32" s="5">
        <f>IF(A32="","",IF(E32="Pago","Pago",IF(D32&lt;TODAY(),"ATRASADO",IF(D32&lt;=TODAY()+3,"Vence em breve","No prazo"))))</f>
        <v/>
      </c>
      <c r="G32" s="5">
        <f>IF(A32="","",IF(OR(E32="Pago",D32&gt;=TODAY()),0,TODAY()-D32))</f>
        <v/>
      </c>
      <c r="H32" s="5">
        <f>IF(A32="","",IF(F32="ATRASADO","Cobrar hoje",IF(F32="Vence em breve","Lembrete amigável",IF(F32="Pago","—","Acompanhar"))))</f>
        <v/>
      </c>
    </row>
    <row r="33">
      <c r="A33" s="5" t="n"/>
      <c r="B33" s="5" t="n"/>
      <c r="C33" s="4" t="n"/>
      <c r="D33" s="7" t="n"/>
      <c r="E33" s="5" t="n"/>
      <c r="F33" s="5">
        <f>IF(A33="","",IF(E33="Pago","Pago",IF(D33&lt;TODAY(),"ATRASADO",IF(D33&lt;=TODAY()+3,"Vence em breve","No prazo"))))</f>
        <v/>
      </c>
      <c r="G33" s="5">
        <f>IF(A33="","",IF(OR(E33="Pago",D33&gt;=TODAY()),0,TODAY()-D33))</f>
        <v/>
      </c>
      <c r="H33" s="5">
        <f>IF(A33="","",IF(F33="ATRASADO","Cobrar hoje",IF(F33="Vence em breve","Lembrete amigável",IF(F33="Pago","—","Acompanhar"))))</f>
        <v/>
      </c>
    </row>
    <row r="34">
      <c r="A34" s="5" t="n"/>
      <c r="B34" s="5" t="n"/>
      <c r="C34" s="4" t="n"/>
      <c r="D34" s="7" t="n"/>
      <c r="E34" s="5" t="n"/>
      <c r="F34" s="5">
        <f>IF(A34="","",IF(E34="Pago","Pago",IF(D34&lt;TODAY(),"ATRASADO",IF(D34&lt;=TODAY()+3,"Vence em breve","No prazo"))))</f>
        <v/>
      </c>
      <c r="G34" s="5">
        <f>IF(A34="","",IF(OR(E34="Pago",D34&gt;=TODAY()),0,TODAY()-D34))</f>
        <v/>
      </c>
      <c r="H34" s="5">
        <f>IF(A34="","",IF(F34="ATRASADO","Cobrar hoje",IF(F34="Vence em breve","Lembrete amigável",IF(F34="Pago","—","Acompanhar"))))</f>
        <v/>
      </c>
    </row>
    <row r="35">
      <c r="A35" s="5" t="n"/>
      <c r="B35" s="5" t="n"/>
      <c r="C35" s="4" t="n"/>
      <c r="D35" s="7" t="n"/>
      <c r="E35" s="5" t="n"/>
      <c r="F35" s="5">
        <f>IF(A35="","",IF(E35="Pago","Pago",IF(D35&lt;TODAY(),"ATRASADO",IF(D35&lt;=TODAY()+3,"Vence em breve","No prazo"))))</f>
        <v/>
      </c>
      <c r="G35" s="5">
        <f>IF(A35="","",IF(OR(E35="Pago",D35&gt;=TODAY()),0,TODAY()-D35))</f>
        <v/>
      </c>
      <c r="H35" s="5">
        <f>IF(A35="","",IF(F35="ATRASADO","Cobrar hoje",IF(F35="Vence em breve","Lembrete amigável",IF(F35="Pago","—","Acompanhar"))))</f>
        <v/>
      </c>
    </row>
    <row r="36">
      <c r="A36" s="5" t="n"/>
      <c r="B36" s="5" t="n"/>
      <c r="C36" s="4" t="n"/>
      <c r="D36" s="7" t="n"/>
      <c r="E36" s="5" t="n"/>
      <c r="F36" s="5">
        <f>IF(A36="","",IF(E36="Pago","Pago",IF(D36&lt;TODAY(),"ATRASADO",IF(D36&lt;=TODAY()+3,"Vence em breve","No prazo"))))</f>
        <v/>
      </c>
      <c r="G36" s="5">
        <f>IF(A36="","",IF(OR(E36="Pago",D36&gt;=TODAY()),0,TODAY()-D36))</f>
        <v/>
      </c>
      <c r="H36" s="5">
        <f>IF(A36="","",IF(F36="ATRASADO","Cobrar hoje",IF(F36="Vence em breve","Lembrete amigável",IF(F36="Pago","—","Acompanhar"))))</f>
        <v/>
      </c>
    </row>
    <row r="37">
      <c r="A37" s="5" t="n"/>
      <c r="B37" s="5" t="n"/>
      <c r="C37" s="4" t="n"/>
      <c r="D37" s="7" t="n"/>
      <c r="E37" s="5" t="n"/>
      <c r="F37" s="5">
        <f>IF(A37="","",IF(E37="Pago","Pago",IF(D37&lt;TODAY(),"ATRASADO",IF(D37&lt;=TODAY()+3,"Vence em breve","No prazo"))))</f>
        <v/>
      </c>
      <c r="G37" s="5">
        <f>IF(A37="","",IF(OR(E37="Pago",D37&gt;=TODAY()),0,TODAY()-D37))</f>
        <v/>
      </c>
      <c r="H37" s="5">
        <f>IF(A37="","",IF(F37="ATRASADO","Cobrar hoje",IF(F37="Vence em breve","Lembrete amigável",IF(F37="Pago","—","Acompanhar"))))</f>
        <v/>
      </c>
    </row>
    <row r="38">
      <c r="A38" s="5" t="n"/>
      <c r="B38" s="5" t="n"/>
      <c r="C38" s="4" t="n"/>
      <c r="D38" s="7" t="n"/>
      <c r="E38" s="5" t="n"/>
      <c r="F38" s="5">
        <f>IF(A38="","",IF(E38="Pago","Pago",IF(D38&lt;TODAY(),"ATRASADO",IF(D38&lt;=TODAY()+3,"Vence em breve","No prazo"))))</f>
        <v/>
      </c>
      <c r="G38" s="5">
        <f>IF(A38="","",IF(OR(E38="Pago",D38&gt;=TODAY()),0,TODAY()-D38))</f>
        <v/>
      </c>
      <c r="H38" s="5">
        <f>IF(A38="","",IF(F38="ATRASADO","Cobrar hoje",IF(F38="Vence em breve","Lembrete amigável",IF(F38="Pago","—","Acompanhar"))))</f>
        <v/>
      </c>
    </row>
    <row r="39">
      <c r="A39" s="5" t="n"/>
      <c r="B39" s="5" t="n"/>
      <c r="C39" s="4" t="n"/>
      <c r="D39" s="7" t="n"/>
      <c r="E39" s="5" t="n"/>
      <c r="F39" s="5">
        <f>IF(A39="","",IF(E39="Pago","Pago",IF(D39&lt;TODAY(),"ATRASADO",IF(D39&lt;=TODAY()+3,"Vence em breve","No prazo"))))</f>
        <v/>
      </c>
      <c r="G39" s="5">
        <f>IF(A39="","",IF(OR(E39="Pago",D39&gt;=TODAY()),0,TODAY()-D39))</f>
        <v/>
      </c>
      <c r="H39" s="5">
        <f>IF(A39="","",IF(F39="ATRASADO","Cobrar hoje",IF(F39="Vence em breve","Lembrete amigável",IF(F39="Pago","—","Acompanhar"))))</f>
        <v/>
      </c>
    </row>
    <row r="40">
      <c r="A40" s="5" t="n"/>
      <c r="B40" s="5" t="n"/>
      <c r="C40" s="4" t="n"/>
      <c r="D40" s="7" t="n"/>
      <c r="E40" s="5" t="n"/>
      <c r="F40" s="5">
        <f>IF(A40="","",IF(E40="Pago","Pago",IF(D40&lt;TODAY(),"ATRASADO",IF(D40&lt;=TODAY()+3,"Vence em breve","No prazo"))))</f>
        <v/>
      </c>
      <c r="G40" s="5">
        <f>IF(A40="","",IF(OR(E40="Pago",D40&gt;=TODAY()),0,TODAY()-D40))</f>
        <v/>
      </c>
      <c r="H40" s="5">
        <f>IF(A40="","",IF(F40="ATRASADO","Cobrar hoje",IF(F40="Vence em breve","Lembrete amigável",IF(F40="Pago","—","Acompanhar"))))</f>
        <v/>
      </c>
    </row>
    <row r="41">
      <c r="A41" s="5" t="n"/>
      <c r="B41" s="5" t="n"/>
      <c r="C41" s="4" t="n"/>
      <c r="D41" s="7" t="n"/>
      <c r="E41" s="5" t="n"/>
      <c r="F41" s="5">
        <f>IF(A41="","",IF(E41="Pago","Pago",IF(D41&lt;TODAY(),"ATRASADO",IF(D41&lt;=TODAY()+3,"Vence em breve","No prazo"))))</f>
        <v/>
      </c>
      <c r="G41" s="5">
        <f>IF(A41="","",IF(OR(E41="Pago",D41&gt;=TODAY()),0,TODAY()-D41))</f>
        <v/>
      </c>
      <c r="H41" s="5">
        <f>IF(A41="","",IF(F41="ATRASADO","Cobrar hoje",IF(F41="Vence em breve","Lembrete amigável",IF(F41="Pago","—","Acompanhar"))))</f>
        <v/>
      </c>
    </row>
    <row r="42">
      <c r="A42" s="5" t="n"/>
      <c r="B42" s="5" t="n"/>
      <c r="C42" s="4" t="n"/>
      <c r="D42" s="7" t="n"/>
      <c r="E42" s="5" t="n"/>
      <c r="F42" s="5">
        <f>IF(A42="","",IF(E42="Pago","Pago",IF(D42&lt;TODAY(),"ATRASADO",IF(D42&lt;=TODAY()+3,"Vence em breve","No prazo"))))</f>
        <v/>
      </c>
      <c r="G42" s="5">
        <f>IF(A42="","",IF(OR(E42="Pago",D42&gt;=TODAY()),0,TODAY()-D42))</f>
        <v/>
      </c>
      <c r="H42" s="5">
        <f>IF(A42="","",IF(F42="ATRASADO","Cobrar hoje",IF(F42="Vence em breve","Lembrete amigável",IF(F42="Pago","—","Acompanhar"))))</f>
        <v/>
      </c>
    </row>
    <row r="43">
      <c r="A43" s="5" t="n"/>
      <c r="B43" s="5" t="n"/>
      <c r="C43" s="4" t="n"/>
      <c r="D43" s="7" t="n"/>
      <c r="E43" s="5" t="n"/>
      <c r="F43" s="5">
        <f>IF(A43="","",IF(E43="Pago","Pago",IF(D43&lt;TODAY(),"ATRASADO",IF(D43&lt;=TODAY()+3,"Vence em breve","No prazo"))))</f>
        <v/>
      </c>
      <c r="G43" s="5">
        <f>IF(A43="","",IF(OR(E43="Pago",D43&gt;=TODAY()),0,TODAY()-D43))</f>
        <v/>
      </c>
      <c r="H43" s="5">
        <f>IF(A43="","",IF(F43="ATRASADO","Cobrar hoje",IF(F43="Vence em breve","Lembrete amigável",IF(F43="Pago","—","Acompanhar"))))</f>
        <v/>
      </c>
    </row>
    <row r="44">
      <c r="A44" s="5" t="n"/>
      <c r="B44" s="5" t="n"/>
      <c r="C44" s="4" t="n"/>
      <c r="D44" s="7" t="n"/>
      <c r="E44" s="5" t="n"/>
      <c r="F44" s="5">
        <f>IF(A44="","",IF(E44="Pago","Pago",IF(D44&lt;TODAY(),"ATRASADO",IF(D44&lt;=TODAY()+3,"Vence em breve","No prazo"))))</f>
        <v/>
      </c>
      <c r="G44" s="5">
        <f>IF(A44="","",IF(OR(E44="Pago",D44&gt;=TODAY()),0,TODAY()-D44))</f>
        <v/>
      </c>
      <c r="H44" s="5">
        <f>IF(A44="","",IF(F44="ATRASADO","Cobrar hoje",IF(F44="Vence em breve","Lembrete amigável",IF(F44="Pago","—","Acompanhar"))))</f>
        <v/>
      </c>
    </row>
    <row r="45">
      <c r="A45" s="5" t="n"/>
      <c r="B45" s="5" t="n"/>
      <c r="C45" s="4" t="n"/>
      <c r="D45" s="7" t="n"/>
      <c r="E45" s="5" t="n"/>
      <c r="F45" s="5">
        <f>IF(A45="","",IF(E45="Pago","Pago",IF(D45&lt;TODAY(),"ATRASADO",IF(D45&lt;=TODAY()+3,"Vence em breve","No prazo"))))</f>
        <v/>
      </c>
      <c r="G45" s="5">
        <f>IF(A45="","",IF(OR(E45="Pago",D45&gt;=TODAY()),0,TODAY()-D45))</f>
        <v/>
      </c>
      <c r="H45" s="5">
        <f>IF(A45="","",IF(F45="ATRASADO","Cobrar hoje",IF(F45="Vence em breve","Lembrete amigável",IF(F45="Pago","—","Acompanhar"))))</f>
        <v/>
      </c>
    </row>
    <row r="46">
      <c r="A46" s="5" t="n"/>
      <c r="B46" s="5" t="n"/>
      <c r="C46" s="4" t="n"/>
      <c r="D46" s="7" t="n"/>
      <c r="E46" s="5" t="n"/>
      <c r="F46" s="5">
        <f>IF(A46="","",IF(E46="Pago","Pago",IF(D46&lt;TODAY(),"ATRASADO",IF(D46&lt;=TODAY()+3,"Vence em breve","No prazo"))))</f>
        <v/>
      </c>
      <c r="G46" s="5">
        <f>IF(A46="","",IF(OR(E46="Pago",D46&gt;=TODAY()),0,TODAY()-D46))</f>
        <v/>
      </c>
      <c r="H46" s="5">
        <f>IF(A46="","",IF(F46="ATRASADO","Cobrar hoje",IF(F46="Vence em breve","Lembrete amigável",IF(F46="Pago","—","Acompanhar"))))</f>
        <v/>
      </c>
    </row>
    <row r="47">
      <c r="A47" s="5" t="n"/>
      <c r="B47" s="5" t="n"/>
      <c r="C47" s="4" t="n"/>
      <c r="D47" s="7" t="n"/>
      <c r="E47" s="5" t="n"/>
      <c r="F47" s="5">
        <f>IF(A47="","",IF(E47="Pago","Pago",IF(D47&lt;TODAY(),"ATRASADO",IF(D47&lt;=TODAY()+3,"Vence em breve","No prazo"))))</f>
        <v/>
      </c>
      <c r="G47" s="5">
        <f>IF(A47="","",IF(OR(E47="Pago",D47&gt;=TODAY()),0,TODAY()-D47))</f>
        <v/>
      </c>
      <c r="H47" s="5">
        <f>IF(A47="","",IF(F47="ATRASADO","Cobrar hoje",IF(F47="Vence em breve","Lembrete amigável",IF(F47="Pago","—","Acompanhar"))))</f>
        <v/>
      </c>
    </row>
    <row r="48">
      <c r="A48" s="5" t="n"/>
      <c r="B48" s="5" t="n"/>
      <c r="C48" s="4" t="n"/>
      <c r="D48" s="7" t="n"/>
      <c r="E48" s="5" t="n"/>
      <c r="F48" s="5">
        <f>IF(A48="","",IF(E48="Pago","Pago",IF(D48&lt;TODAY(),"ATRASADO",IF(D48&lt;=TODAY()+3,"Vence em breve","No prazo"))))</f>
        <v/>
      </c>
      <c r="G48" s="5">
        <f>IF(A48="","",IF(OR(E48="Pago",D48&gt;=TODAY()),0,TODAY()-D48))</f>
        <v/>
      </c>
      <c r="H48" s="5">
        <f>IF(A48="","",IF(F48="ATRASADO","Cobrar hoje",IF(F48="Vence em breve","Lembrete amigável",IF(F48="Pago","—","Acompanhar"))))</f>
        <v/>
      </c>
    </row>
    <row r="49">
      <c r="A49" s="5" t="n"/>
      <c r="B49" s="5" t="n"/>
      <c r="C49" s="4" t="n"/>
      <c r="D49" s="7" t="n"/>
      <c r="E49" s="5" t="n"/>
      <c r="F49" s="5">
        <f>IF(A49="","",IF(E49="Pago","Pago",IF(D49&lt;TODAY(),"ATRASADO",IF(D49&lt;=TODAY()+3,"Vence em breve","No prazo"))))</f>
        <v/>
      </c>
      <c r="G49" s="5">
        <f>IF(A49="","",IF(OR(E49="Pago",D49&gt;=TODAY()),0,TODAY()-D49))</f>
        <v/>
      </c>
      <c r="H49" s="5">
        <f>IF(A49="","",IF(F49="ATRASADO","Cobrar hoje",IF(F49="Vence em breve","Lembrete amigável",IF(F49="Pago","—","Acompanhar"))))</f>
        <v/>
      </c>
    </row>
    <row r="50">
      <c r="A50" s="5" t="n"/>
      <c r="B50" s="5" t="n"/>
      <c r="C50" s="4" t="n"/>
      <c r="D50" s="7" t="n"/>
      <c r="E50" s="5" t="n"/>
      <c r="F50" s="5">
        <f>IF(A50="","",IF(E50="Pago","Pago",IF(D50&lt;TODAY(),"ATRASADO",IF(D50&lt;=TODAY()+3,"Vence em breve","No prazo"))))</f>
        <v/>
      </c>
      <c r="G50" s="5">
        <f>IF(A50="","",IF(OR(E50="Pago",D50&gt;=TODAY()),0,TODAY()-D50))</f>
        <v/>
      </c>
      <c r="H50" s="5">
        <f>IF(A50="","",IF(F50="ATRASADO","Cobrar hoje",IF(F50="Vence em breve","Lembrete amigável",IF(F50="Pago","—","Acompanhar"))))</f>
        <v/>
      </c>
    </row>
    <row r="51">
      <c r="A51" s="5" t="n"/>
      <c r="B51" s="5" t="n"/>
      <c r="C51" s="4" t="n"/>
      <c r="D51" s="7" t="n"/>
      <c r="E51" s="5" t="n"/>
      <c r="F51" s="5">
        <f>IF(A51="","",IF(E51="Pago","Pago",IF(D51&lt;TODAY(),"ATRASADO",IF(D51&lt;=TODAY()+3,"Vence em breve","No prazo"))))</f>
        <v/>
      </c>
      <c r="G51" s="5">
        <f>IF(A51="","",IF(OR(E51="Pago",D51&gt;=TODAY()),0,TODAY()-D51))</f>
        <v/>
      </c>
      <c r="H51" s="5">
        <f>IF(A51="","",IF(F51="ATRASADO","Cobrar hoje",IF(F51="Vence em breve","Lembrete amigável",IF(F51="Pago","—","Acompanhar"))))</f>
        <v/>
      </c>
    </row>
    <row r="52">
      <c r="A52" s="5" t="n"/>
      <c r="B52" s="5" t="n"/>
      <c r="C52" s="4" t="n"/>
      <c r="D52" s="7" t="n"/>
      <c r="E52" s="5" t="n"/>
      <c r="F52" s="5">
        <f>IF(A52="","",IF(E52="Pago","Pago",IF(D52&lt;TODAY(),"ATRASADO",IF(D52&lt;=TODAY()+3,"Vence em breve","No prazo"))))</f>
        <v/>
      </c>
      <c r="G52" s="5">
        <f>IF(A52="","",IF(OR(E52="Pago",D52&gt;=TODAY()),0,TODAY()-D52))</f>
        <v/>
      </c>
      <c r="H52" s="5">
        <f>IF(A52="","",IF(F52="ATRASADO","Cobrar hoje",IF(F52="Vence em breve","Lembrete amigável",IF(F52="Pago","—","Acompanhar"))))</f>
        <v/>
      </c>
    </row>
    <row r="53">
      <c r="A53" s="5" t="n"/>
      <c r="B53" s="5" t="n"/>
      <c r="C53" s="4" t="n"/>
      <c r="D53" s="7" t="n"/>
      <c r="E53" s="5" t="n"/>
      <c r="F53" s="5">
        <f>IF(A53="","",IF(E53="Pago","Pago",IF(D53&lt;TODAY(),"ATRASADO",IF(D53&lt;=TODAY()+3,"Vence em breve","No prazo"))))</f>
        <v/>
      </c>
      <c r="G53" s="5">
        <f>IF(A53="","",IF(OR(E53="Pago",D53&gt;=TODAY()),0,TODAY()-D53))</f>
        <v/>
      </c>
      <c r="H53" s="5">
        <f>IF(A53="","",IF(F53="ATRASADO","Cobrar hoje",IF(F53="Vence em breve","Lembrete amigável",IF(F53="Pago","—","Acompanhar"))))</f>
        <v/>
      </c>
    </row>
    <row r="54">
      <c r="A54" s="5" t="n"/>
      <c r="B54" s="5" t="n"/>
      <c r="C54" s="4" t="n"/>
      <c r="D54" s="7" t="n"/>
      <c r="E54" s="5" t="n"/>
      <c r="F54" s="5">
        <f>IF(A54="","",IF(E54="Pago","Pago",IF(D54&lt;TODAY(),"ATRASADO",IF(D54&lt;=TODAY()+3,"Vence em breve","No prazo"))))</f>
        <v/>
      </c>
      <c r="G54" s="5">
        <f>IF(A54="","",IF(OR(E54="Pago",D54&gt;=TODAY()),0,TODAY()-D54))</f>
        <v/>
      </c>
      <c r="H54" s="5">
        <f>IF(A54="","",IF(F54="ATRASADO","Cobrar hoje",IF(F54="Vence em breve","Lembrete amigável",IF(F54="Pago","—","Acompanhar"))))</f>
        <v/>
      </c>
    </row>
    <row r="55">
      <c r="A55" s="5" t="n"/>
      <c r="B55" s="5" t="n"/>
      <c r="C55" s="4" t="n"/>
      <c r="D55" s="7" t="n"/>
      <c r="E55" s="5" t="n"/>
      <c r="F55" s="5">
        <f>IF(A55="","",IF(E55="Pago","Pago",IF(D55&lt;TODAY(),"ATRASADO",IF(D55&lt;=TODAY()+3,"Vence em breve","No prazo"))))</f>
        <v/>
      </c>
      <c r="G55" s="5">
        <f>IF(A55="","",IF(OR(E55="Pago",D55&gt;=TODAY()),0,TODAY()-D55))</f>
        <v/>
      </c>
      <c r="H55" s="5">
        <f>IF(A55="","",IF(F55="ATRASADO","Cobrar hoje",IF(F55="Vence em breve","Lembrete amigável",IF(F55="Pago","—","Acompanhar"))))</f>
        <v/>
      </c>
    </row>
    <row r="56">
      <c r="A56" s="5" t="n"/>
      <c r="B56" s="5" t="n"/>
      <c r="C56" s="4" t="n"/>
      <c r="D56" s="7" t="n"/>
      <c r="E56" s="5" t="n"/>
      <c r="F56" s="5">
        <f>IF(A56="","",IF(E56="Pago","Pago",IF(D56&lt;TODAY(),"ATRASADO",IF(D56&lt;=TODAY()+3,"Vence em breve","No prazo"))))</f>
        <v/>
      </c>
      <c r="G56" s="5">
        <f>IF(A56="","",IF(OR(E56="Pago",D56&gt;=TODAY()),0,TODAY()-D56))</f>
        <v/>
      </c>
      <c r="H56" s="5">
        <f>IF(A56="","",IF(F56="ATRASADO","Cobrar hoje",IF(F56="Vence em breve","Lembrete amigável",IF(F56="Pago","—","Acompanhar"))))</f>
        <v/>
      </c>
    </row>
    <row r="57">
      <c r="A57" s="5" t="n"/>
      <c r="B57" s="5" t="n"/>
      <c r="C57" s="4" t="n"/>
      <c r="D57" s="7" t="n"/>
      <c r="E57" s="5" t="n"/>
      <c r="F57" s="5">
        <f>IF(A57="","",IF(E57="Pago","Pago",IF(D57&lt;TODAY(),"ATRASADO",IF(D57&lt;=TODAY()+3,"Vence em breve","No prazo"))))</f>
        <v/>
      </c>
      <c r="G57" s="5">
        <f>IF(A57="","",IF(OR(E57="Pago",D57&gt;=TODAY()),0,TODAY()-D57))</f>
        <v/>
      </c>
      <c r="H57" s="5">
        <f>IF(A57="","",IF(F57="ATRASADO","Cobrar hoje",IF(F57="Vence em breve","Lembrete amigável",IF(F57="Pago","—","Acompanhar"))))</f>
        <v/>
      </c>
    </row>
    <row r="58">
      <c r="A58" s="5" t="n"/>
      <c r="B58" s="5" t="n"/>
      <c r="C58" s="4" t="n"/>
      <c r="D58" s="7" t="n"/>
      <c r="E58" s="5" t="n"/>
      <c r="F58" s="5">
        <f>IF(A58="","",IF(E58="Pago","Pago",IF(D58&lt;TODAY(),"ATRASADO",IF(D58&lt;=TODAY()+3,"Vence em breve","No prazo"))))</f>
        <v/>
      </c>
      <c r="G58" s="5">
        <f>IF(A58="","",IF(OR(E58="Pago",D58&gt;=TODAY()),0,TODAY()-D58))</f>
        <v/>
      </c>
      <c r="H58" s="5">
        <f>IF(A58="","",IF(F58="ATRASADO","Cobrar hoje",IF(F58="Vence em breve","Lembrete amigável",IF(F58="Pago","—","Acompanhar"))))</f>
        <v/>
      </c>
    </row>
    <row r="59">
      <c r="A59" s="5" t="n"/>
      <c r="B59" s="5" t="n"/>
      <c r="C59" s="4" t="n"/>
      <c r="D59" s="7" t="n"/>
      <c r="E59" s="5" t="n"/>
      <c r="F59" s="5">
        <f>IF(A59="","",IF(E59="Pago","Pago",IF(D59&lt;TODAY(),"ATRASADO",IF(D59&lt;=TODAY()+3,"Vence em breve","No prazo"))))</f>
        <v/>
      </c>
      <c r="G59" s="5">
        <f>IF(A59="","",IF(OR(E59="Pago",D59&gt;=TODAY()),0,TODAY()-D59))</f>
        <v/>
      </c>
      <c r="H59" s="5">
        <f>IF(A59="","",IF(F59="ATRASADO","Cobrar hoje",IF(F59="Vence em breve","Lembrete amigável",IF(F59="Pago","—","Acompanhar"))))</f>
        <v/>
      </c>
    </row>
  </sheetData>
  <mergeCells count="2">
    <mergeCell ref="A2:H2"/>
    <mergeCell ref="A1:H1"/>
  </mergeCells>
  <conditionalFormatting sqref="F5:F200">
    <cfRule type="expression" priority="1" dxfId="0">
      <formula>F5="ATRASADO"</formula>
    </cfRule>
    <cfRule type="expression" priority="2" dxfId="1">
      <formula>F5="Vence em breve"</formula>
    </cfRule>
    <cfRule type="expression" priority="3" dxfId="2">
      <formula>F5="No prazo"</formula>
    </cfRule>
    <cfRule type="expression" priority="4" dxfId="3">
      <formula>F5="Pago"</formula>
    </cfRule>
  </conditionalFormatting>
  <dataValidations count="1">
    <dataValidation sqref="E5:E200" showDropDown="0" showInputMessage="0" showErrorMessage="0" allowBlank="1" type="list">
      <formula1>"Pago,Em aberto"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2026-07-22T15:48:48Z</dcterms:created>
  <dcterms:modified xmlns:dcterms="http://purl.org/dc/terms/" xmlns:xsi="http://www.w3.org/2001/XMLSchema-instance" xsi:type="dcterms:W3CDTF">2026-07-22T15:48:48Z</dcterms:modified>
</cp:coreProperties>
</file>