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CONFIG" sheetId="2" state="visible" r:id="rId4"/>
    <sheet name="LANCAMENTOS" sheetId="3" state="visible" r:id="rId5"/>
    <sheet name="PROJECAO" sheetId="4" state="visible" r:id="rId6"/>
  </sheets>
  <definedNames>
    <definedName function="false" hidden="false" localSheetId="0" name="_xlnm.Print_Area" vbProcedure="false">DASHBOARD!$A$1:$L$42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<sst xmlns="http://schemas.openxmlformats.org/spreadsheetml/2006/main" count="152" uniqueCount="102">
  <si>
    <t xml:space="preserve">TRUST EXCEL  ·  TRUST CORPORATION</t>
  </si>
  <si>
    <t xml:space="preserve">Diagnóstico Financeiro 360</t>
  </si>
  <si>
    <t xml:space="preserve">Score de saúde · projeção · alertas inteligentes</t>
  </si>
  <si>
    <t xml:space="preserve">RENDA DO MÊS</t>
  </si>
  <si>
    <t xml:space="preserve">GASTOS</t>
  </si>
  <si>
    <t xml:space="preserve">SALDO</t>
  </si>
  <si>
    <t xml:space="preserve">TAXA DE POUPANÇA</t>
  </si>
  <si>
    <t xml:space="preserve">SCORE DE SAÚDE</t>
  </si>
  <si>
    <t xml:space="preserve">sobra reinvestível</t>
  </si>
  <si>
    <t xml:space="preserve">0–100 · quanto maior melhor</t>
  </si>
  <si>
    <t xml:space="preserve">GASTOS POR CATEGORIA</t>
  </si>
  <si>
    <t xml:space="preserve">Categoria</t>
  </si>
  <si>
    <t xml:space="preserve">Total</t>
  </si>
  <si>
    <t xml:space="preserve">% da renda</t>
  </si>
  <si>
    <t xml:space="preserve">Moradia</t>
  </si>
  <si>
    <t xml:space="preserve">Alimentação</t>
  </si>
  <si>
    <t xml:space="preserve">Transporte</t>
  </si>
  <si>
    <t xml:space="preserve">Saúde</t>
  </si>
  <si>
    <t xml:space="preserve">Educação</t>
  </si>
  <si>
    <t xml:space="preserve">Lazer</t>
  </si>
  <si>
    <t xml:space="preserve">Assinaturas</t>
  </si>
  <si>
    <t xml:space="preserve">Investimentos</t>
  </si>
  <si>
    <t xml:space="preserve">Dívidas</t>
  </si>
  <si>
    <t xml:space="preserve">Salário</t>
  </si>
  <si>
    <t xml:space="preserve">Freelance</t>
  </si>
  <si>
    <t xml:space="preserve">Outros</t>
  </si>
  <si>
    <t xml:space="preserve">RAIO-X (5 dimensões)</t>
  </si>
  <si>
    <t xml:space="preserve">Dimensão</t>
  </si>
  <si>
    <t xml:space="preserve">Índice 0-100</t>
  </si>
  <si>
    <t xml:space="preserve">Poupança</t>
  </si>
  <si>
    <t xml:space="preserve">Investir</t>
  </si>
  <si>
    <t xml:space="preserve">Controle gasto</t>
  </si>
  <si>
    <t xml:space="preserve">Baixa dívida</t>
  </si>
  <si>
    <t xml:space="preserve">Reserva</t>
  </si>
  <si>
    <t xml:space="preserve">MINI-SPARKLINES</t>
  </si>
  <si>
    <t xml:space="preserve">Cascata Renda → Saldo</t>
  </si>
  <si>
    <t xml:space="preserve">Indicador</t>
  </si>
  <si>
    <t xml:space="preserve">Atual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</si>
  <si>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</si>
  <si>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</si>
  <si>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</si>
  <si>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</si>
  <si>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</si>
  <si>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</si>
  <si>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Spark</t>
  </si>
  <si>
    <t xml:space="preserve">Etapa</t>
  </si>
  <si>
    <t xml:space="preserve">Base</t>
  </si>
  <si>
    <t xml:space="preserve">Alta</t>
  </si>
  <si>
    <t xml:space="preserve">Baixa</t>
  </si>
  <si>
    <t xml:space="preserve">Δ</t>
  </si>
  <si>
    <t xml:space="preserve">Poupança %</t>
  </si>
  <si>
    <t xml:space="preserve">Renda</t>
  </si>
  <si>
    <t xml:space="preserve">Score</t>
  </si>
  <si>
    <t xml:space="preserve">Gastos</t>
  </si>
  <si>
    <t xml:space="preserve">Saldo</t>
  </si>
  <si>
    <t xml:space="preserve">Spark · patrimônio 12m</t>
  </si>
  <si>
    <t xml:space="preserve">Ponto</t>
  </si>
  <si>
    <t xml:space="preserve">Valor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</si>
  <si>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</si>
  <si>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</si>
  <si>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</si>
  <si>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</si>
  <si>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</si>
  <si>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</si>
  <si>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</si>
  <si>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</si>
  <si>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</si>
  <si>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</si>
  <si>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</si>
  <si>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</si>
  <si>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CATEGORIAS &amp; PESOS DO DIAGNÓSTICO</t>
  </si>
  <si>
    <t xml:space="preserve">Teto ideal %</t>
  </si>
  <si>
    <t xml:space="preserve">Tipo</t>
  </si>
  <si>
    <t xml:space="preserve">Tipos de lançamento</t>
  </si>
  <si>
    <t xml:space="preserve">Essencial</t>
  </si>
  <si>
    <t xml:space="preserve">Entrada</t>
  </si>
  <si>
    <t xml:space="preserve">Saída</t>
  </si>
  <si>
    <t xml:space="preserve">Investimento</t>
  </si>
  <si>
    <t xml:space="preserve">Estilo de vida</t>
  </si>
  <si>
    <t xml:space="preserve">Futuro</t>
  </si>
  <si>
    <t xml:space="preserve">Risco</t>
  </si>
  <si>
    <t xml:space="preserve">Lançamentos</t>
  </si>
  <si>
    <t xml:space="preserve">Preencha aqui — o diagnóstico calcula sozinho</t>
  </si>
  <si>
    <t xml:space="preserve">Data</t>
  </si>
  <si>
    <t xml:space="preserve">Descrição</t>
  </si>
  <si>
    <t xml:space="preserve">Alerta teto</t>
  </si>
  <si>
    <t xml:space="preserve">Salário mensal</t>
  </si>
  <si>
    <t xml:space="preserve">Aluguel + condomínio</t>
  </si>
  <si>
    <t xml:space="preserve">Mercado do mês</t>
  </si>
  <si>
    <t xml:space="preserve">Softwares e streaming</t>
  </si>
  <si>
    <t xml:space="preserve">Combustível + app</t>
  </si>
  <si>
    <t xml:space="preserve">Restaurantes</t>
  </si>
  <si>
    <t xml:space="preserve">Plano + farmácia</t>
  </si>
  <si>
    <t xml:space="preserve">Aporte carteira</t>
  </si>
  <si>
    <t xml:space="preserve">Cartão parcelado</t>
  </si>
  <si>
    <t xml:space="preserve">Projeção de Patrimônio (12 meses)</t>
  </si>
  <si>
    <t xml:space="preserve">Sobra mensal reinvestida com juros compostos</t>
  </si>
  <si>
    <t xml:space="preserve">Aporte mensal (sobra)</t>
  </si>
  <si>
    <t xml:space="preserve">Rendimento a.m.</t>
  </si>
  <si>
    <t xml:space="preserve">Patrimônio inicial</t>
  </si>
  <si>
    <t xml:space="preserve">Mês</t>
  </si>
  <si>
    <t xml:space="preserve">Patrimônio projetado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</si>
</sst>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R$ &quot;#,##0"/>
    <numFmt numFmtId="166" formatCode="0.0%"/>
    <numFmt numFmtId="167" formatCode="0"/>
    <numFmt numFmtId="168" formatCode="#,##0.0;\(#,##0.0\);\—"/>
    <numFmt numFmtId="169" formatCode="#,##0;\(#,##0\);\—"/>
    <numFmt numFmtId="170" formatCode="#,##0.00"/>
    <numFmt numFmtId="171" formatCode="0%"/>
    <numFmt numFmtId="172" formatCode="dd/mm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99C66"/>
      <name val="Aptos Narrow"/>
      <family val="0"/>
      <charset val="1"/>
    </font>
    <font>
      <b val="true"/>
      <sz val="20"/>
      <color rgb="FFF3ECDD"/>
      <name val="Aptos Narrow"/>
      <family val="0"/>
      <charset val="1"/>
    </font>
    <font>
      <i val="true"/>
      <sz val="10"/>
      <color rgb="FF8A9691"/>
      <name val="Aptos Narrow"/>
      <family val="0"/>
      <charset val="1"/>
    </font>
    <font>
      <b val="true"/>
      <sz val="8"/>
      <color rgb="FF8A9691"/>
      <name val="Aptos Narrow"/>
      <family val="0"/>
      <charset val="1"/>
    </font>
    <font>
      <b val="true"/>
      <sz val="20"/>
      <color rgb="FFC99C66"/>
      <name val="Aptos Narrow"/>
      <family val="0"/>
      <charset val="1"/>
    </font>
    <font>
      <b val="true"/>
      <sz val="20"/>
      <color rgb="FFE0A94B"/>
      <name val="Aptos Narrow"/>
      <family val="0"/>
      <charset val="1"/>
    </font>
    <font>
      <b val="true"/>
      <sz val="20"/>
      <color rgb="FF43D07F"/>
      <name val="Aptos Narrow"/>
      <family val="0"/>
      <charset val="1"/>
    </font>
    <font>
      <i val="true"/>
      <sz val="7"/>
      <color rgb="FF8A9691"/>
      <name val="Aptos Narrow"/>
      <family val="0"/>
      <charset val="1"/>
    </font>
    <font>
      <b val="true"/>
      <sz val="11"/>
      <color rgb="FFF3ECDD"/>
      <name val="Aptos Narrow"/>
      <family val="0"/>
      <charset val="1"/>
    </font>
    <font>
      <sz val="8"/>
      <color rgb="FF0E1512"/>
      <name val="Aptos Narrow"/>
      <family val="0"/>
      <charset val="1"/>
    </font>
    <font>
      <b val="true"/>
      <sz val="10"/>
      <color rgb="FFC99C66"/>
      <name val="Aptos Narrow"/>
      <family val="0"/>
      <charset val="1"/>
    </font>
    <font>
      <b val="true"/>
      <sz val="9"/>
      <color rgb="FFF3ECDD"/>
      <name val="Aptos Narrow"/>
      <family val="0"/>
      <charset val="1"/>
    </font>
    <font>
      <sz val="9"/>
      <color rgb="FFF3ECDD"/>
      <name val="Aptos Narrow"/>
      <family val="0"/>
      <charset val="1"/>
    </font>
    <font>
      <sz val="9"/>
      <color rgb="FF8A9691"/>
      <name val="Aptos Narrow"/>
      <family val="0"/>
      <charset val="1"/>
    </font>
    <font>
      <sz val="9"/>
      <color rgb="FFC99C66"/>
      <name val="Aptos Narrow"/>
      <family val="0"/>
      <charset val="1"/>
    </font>
    <font>
      <sz val="7"/>
      <color rgb="FF8A9691"/>
      <name val="Aptos Narrow"/>
      <family val="0"/>
      <charset val="1"/>
    </font>
    <font>
      <sz val="11"/>
      <color rgb="FF43D07F"/>
      <name val="Aptos Narrow"/>
      <family val="0"/>
      <charset val="1"/>
    </font>
    <font>
      <sz val="8"/>
      <color rgb="FF8A9691"/>
      <name val="Aptos Narrow"/>
      <family val="0"/>
      <charset val="1"/>
    </font>
    <font>
      <sz val="8"/>
      <color rgb="FFC99C66"/>
      <name val="Aptos Narrow"/>
      <family val="0"/>
      <charset val="1"/>
    </font>
    <font>
      <sz val="8"/>
      <color rgb="FF43D07F"/>
      <name val="Aptos Narrow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F3ECDD"/>
      <name val="Aptos Narrow"/>
      <family val="0"/>
      <charset val="1"/>
    </font>
    <font>
      <sz val="10"/>
      <color rgb="FF8A9691"/>
      <name val="Aptos Narrow"/>
      <family val="0"/>
      <charset val="1"/>
    </font>
    <font>
      <b val="true"/>
      <sz val="11"/>
      <color rgb="FF43D07F"/>
      <name val="Aptos Narrow"/>
      <family val="0"/>
      <charset val="1"/>
    </font>
    <font>
      <sz val="10"/>
      <color rgb="FF43D07F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1512"/>
        <bgColor rgb="FF14211B"/>
      </patternFill>
    </fill>
    <fill>
      <patternFill patternType="solid">
        <fgColor rgb="FF1B2C24"/>
        <bgColor rgb="FF1F3329"/>
      </patternFill>
    </fill>
    <fill>
      <patternFill patternType="solid">
        <fgColor rgb="FF1F3329"/>
        <bgColor rgb="FF24382E"/>
      </patternFill>
    </fill>
    <fill>
      <patternFill patternType="solid">
        <fgColor rgb="FF14211B"/>
        <bgColor rgb="FF1B2C2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C99C66"/>
      </top>
      <bottom style="thin">
        <color rgb="FF24382E"/>
      </bottom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24382E"/>
      </top>
      <bottom style="thin">
        <color rgb="FF24382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1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ptos Narrow"/>
        <charset val="1"/>
        <family val="0"/>
        <b val="1"/>
        <color rgb="FF43D07F"/>
        <sz val="9"/>
      </font>
    </dxf>
    <dxf>
      <font>
        <name val="Aptos Narrow"/>
        <charset val="1"/>
        <family val="0"/>
        <b val="1"/>
        <color rgb="FFD9534F"/>
        <sz val="9"/>
      </font>
    </dxf>
    <dxf>
      <font>
        <name val="Aptos Narrow"/>
        <charset val="1"/>
        <family val="0"/>
        <b val="1"/>
        <color rgb="FFFFFFFF"/>
        <sz val="10"/>
      </font>
      <fill>
        <patternFill>
          <bgColor rgb="FFD9534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E1512"/>
      <rgbColor rgb="FF8AA64F"/>
      <rgbColor rgb="FF800080"/>
      <rgbColor rgb="FF4672A8"/>
      <rgbColor rgb="FFB8CD97"/>
      <rgbColor rgb="FF878787"/>
      <rgbColor rgb="FF93A9CE"/>
      <rgbColor rgb="FFAB4744"/>
      <rgbColor rgb="FFF9F9F9"/>
      <rgbColor rgb="FF92C3D5"/>
      <rgbColor rgb="FF660066"/>
      <rgbColor rgb="FFDC853E"/>
      <rgbColor rgb="FF2E5F99"/>
      <rgbColor rgb="FFD9D9D9"/>
      <rgbColor rgb="FF000080"/>
      <rgbColor rgb="FFFF00FF"/>
      <rgbColor rgb="FFFFFF00"/>
      <rgbColor rgb="FF00FFFF"/>
      <rgbColor rgb="FF800080"/>
      <rgbColor rgb="FF800000"/>
      <rgbColor rgb="FF4299B0"/>
      <rgbColor rgb="FF0000FF"/>
      <rgbColor rgb="FF4F81BD"/>
      <rgbColor rgb="FFCCFFFF"/>
      <rgbColor rgb="FFF3ECDD"/>
      <rgbColor rgb="FFFFFF99"/>
      <rgbColor rgb="FF99CCFF"/>
      <rgbColor rgb="FFD09493"/>
      <rgbColor rgb="FFA99BBD"/>
      <rgbColor rgb="FFF8B590"/>
      <rgbColor rgb="FF397BCA"/>
      <rgbColor rgb="FF43D07F"/>
      <rgbColor rgb="FFC99C66"/>
      <rgbColor rgb="FFFFCC00"/>
      <rgbColor rgb="FFE0A94B"/>
      <rgbColor rgb="FFD9534F"/>
      <rgbColor rgb="FF725990"/>
      <rgbColor rgb="FF8A9691"/>
      <rgbColor rgb="FF14211B"/>
      <rgbColor rgb="FF2E9E5B"/>
      <rgbColor rgb="FF1B2C24"/>
      <rgbColor rgb="FF1F3329"/>
      <rgbColor rgb="FF993300"/>
      <rgbColor rgb="FF993366"/>
      <rgbColor rgb="FF4A7EBB"/>
      <rgbColor rgb="FF2438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Distribuição de gastos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DASHBOARD!C13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92c3d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f8b59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</c:dLbls>
          <c:cat>
            <c:strRef>
              <c:f>DASHBOARD!$B$14:$B$25</c:f>
              <c:strCache>
                <c:ptCount val="12"/>
                <c:pt idx="0">
                  <c:v>Moradia</c:v>
                </c:pt>
                <c:pt idx="1">
                  <c:v>Alimentação</c:v>
                </c:pt>
                <c:pt idx="2">
                  <c:v>Transporte</c:v>
                </c:pt>
                <c:pt idx="3">
                  <c:v>Saúde</c:v>
                </c:pt>
                <c:pt idx="4">
                  <c:v>Educação</c:v>
                </c:pt>
                <c:pt idx="5">
                  <c:v>Lazer</c:v>
                </c:pt>
                <c:pt idx="6">
                  <c:v>Assinaturas</c:v>
                </c:pt>
                <c:pt idx="7">
                  <c:v>Investimentos</c:v>
                </c:pt>
                <c:pt idx="8">
                  <c:v>Dívidas</c:v>
                </c:pt>
                <c:pt idx="9">
                  <c:v>Salário</c:v>
                </c:pt>
                <c:pt idx="10">
                  <c:v>Freelance</c:v>
                </c:pt>
                <c:pt idx="11">
                  <c:v>Outros</c:v>
                </c:pt>
              </c:strCache>
            </c:strRef>
          </c:cat>
          <c:val>
            <c:numRef>
              <c:f>DASHBOARD!$C$14:$C$25</c:f>
              <c:numCache>
                <c:formatCode>"R$ "#,##0</c:formatCode>
                <c:ptCount val="12"/>
                <c:pt idx="0">
                  <c:v>2450</c:v>
                </c:pt>
                <c:pt idx="1">
                  <c:v>1180</c:v>
                </c:pt>
                <c:pt idx="2">
                  <c:v>560</c:v>
                </c:pt>
                <c:pt idx="3">
                  <c:v>540</c:v>
                </c:pt>
                <c:pt idx="4">
                  <c:v>0</c:v>
                </c:pt>
                <c:pt idx="5">
                  <c:v>680</c:v>
                </c:pt>
                <c:pt idx="6">
                  <c:v>320</c:v>
                </c:pt>
                <c:pt idx="7">
                  <c:v>1500</c:v>
                </c:pt>
                <c:pt idx="8">
                  <c:v>900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Raio-X financeiro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DASHBOARD!G27</c:f>
              <c:strCache>
                <c:ptCount val="1"/>
                <c:pt idx="0">
                  <c:v>Índice 0-100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DASHBOARD!$F$28:$F$32</c:f>
              <c:strCache>
                <c:ptCount val="5"/>
                <c:pt idx="0">
                  <c:v>Poupança</c:v>
                </c:pt>
                <c:pt idx="1">
                  <c:v>Investir</c:v>
                </c:pt>
                <c:pt idx="2">
                  <c:v>Controle gasto</c:v>
                </c:pt>
                <c:pt idx="3">
                  <c:v>Baixa dívida</c:v>
                </c:pt>
                <c:pt idx="4">
                  <c:v>Reserva</c:v>
                </c:pt>
              </c:strCache>
            </c:strRef>
          </c:cat>
          <c:val>
            <c:numRef>
              <c:f>DASHBOARD!$G$28:$G$32</c:f>
              <c:numCache>
                <c:formatCode>0</c:formatCode>
                <c:ptCount val="5"/>
                <c:pt idx="0">
                  <c:v>100</c:v>
                </c:pt>
                <c:pt idx="1">
                  <c:v>51.7241379310345</c:v>
                </c:pt>
                <c:pt idx="2">
                  <c:v>75.8965517241379</c:v>
                </c:pt>
                <c:pt idx="3">
                  <c:v>76.7241379310345</c:v>
                </c:pt>
                <c:pt idx="4">
                  <c:v>42.6814268142681</c:v>
                </c:pt>
              </c:numCache>
            </c:numRef>
          </c:val>
        </c:ser>
        <c:axId val="37574872"/>
        <c:axId val="98984686"/>
      </c:radarChart>
      <c:catAx>
        <c:axId val="3757487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984686"/>
        <c:crosses val="autoZero"/>
        <c:auto val="1"/>
        <c:lblAlgn val="ctr"/>
        <c:lblOffset val="100"/>
        <c:noMultiLvlLbl val="0"/>
      </c:catAx>
      <c:valAx>
        <c:axId val="989846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57487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Cascata do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DASHBOARD!O37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DASHBOARD!$N$38:$N$40</c:f>
              <c:strCache>
                <c:ptCount val="3"/>
                <c:pt idx="0">
                  <c:v>Renda</c:v>
                </c:pt>
                <c:pt idx="1">
                  <c:v>Gastos</c:v>
                </c:pt>
                <c:pt idx="2">
                  <c:v>Saldo</c:v>
                </c:pt>
              </c:strCache>
            </c:strRef>
          </c:cat>
          <c:val>
            <c:numRef>
              <c:f>DASHBOARD!$O$38:$O$40</c:f>
              <c:numCache>
                <c:formatCode>#,##0;\(#,##0\);\—</c:formatCode>
                <c:ptCount val="3"/>
                <c:pt idx="0">
                  <c:v>0</c:v>
                </c:pt>
                <c:pt idx="1">
                  <c:v>3470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DASHBOARD!P37</c:f>
              <c:strCache>
                <c:ptCount val="1"/>
                <c:pt idx="0">
                  <c:v>Alta</c:v>
                </c:pt>
              </c:strCache>
            </c:strRef>
          </c:tx>
          <c:spPr>
            <a:solidFill>
              <a:srgbClr val="2e9e5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DASHBOARD!$N$38:$N$40</c:f>
              <c:strCache>
                <c:ptCount val="3"/>
                <c:pt idx="0">
                  <c:v>Renda</c:v>
                </c:pt>
                <c:pt idx="1">
                  <c:v>Gastos</c:v>
                </c:pt>
                <c:pt idx="2">
                  <c:v>Saldo</c:v>
                </c:pt>
              </c:strCache>
            </c:strRef>
          </c:cat>
          <c:val>
            <c:numRef>
              <c:f>DASHBOARD!$P$38:$P$40</c:f>
              <c:numCache>
                <c:formatCode>#,##0;\(#,##0\);\—</c:formatCode>
                <c:ptCount val="3"/>
                <c:pt idx="0">
                  <c:v>11600</c:v>
                </c:pt>
                <c:pt idx="1">
                  <c:v>0</c:v>
                </c:pt>
                <c:pt idx="2">
                  <c:v>3470</c:v>
                </c:pt>
              </c:numCache>
            </c:numRef>
          </c:val>
        </c:ser>
        <c:ser>
          <c:idx val="2"/>
          <c:order val="2"/>
          <c:tx>
            <c:strRef>
              <c:f>DASHBOARD!Q37</c:f>
              <c:strCache>
                <c:ptCount val="1"/>
                <c:pt idx="0">
                  <c:v>Baixa</c:v>
                </c:pt>
              </c:strCache>
            </c:strRef>
          </c:tx>
          <c:spPr>
            <a:solidFill>
              <a:srgbClr val="d953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DASHBOARD!$N$38:$N$40</c:f>
              <c:strCache>
                <c:ptCount val="3"/>
                <c:pt idx="0">
                  <c:v>Renda</c:v>
                </c:pt>
                <c:pt idx="1">
                  <c:v>Gastos</c:v>
                </c:pt>
                <c:pt idx="2">
                  <c:v>Saldo</c:v>
                </c:pt>
              </c:strCache>
            </c:strRef>
          </c:cat>
          <c:val>
            <c:numRef>
              <c:f>DASHBOARD!$Q$38:$Q$40</c:f>
              <c:numCache>
                <c:formatCode>#,##0;\(#,##0\);\—</c:formatCode>
                <c:ptCount val="3"/>
                <c:pt idx="0">
                  <c:v>0</c:v>
                </c:pt>
                <c:pt idx="1">
                  <c:v>8130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60715024"/>
        <c:axId val="39455181"/>
      </c:barChart>
      <c:catAx>
        <c:axId val="6071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455181"/>
        <c:crosses val="autoZero"/>
        <c:auto val="1"/>
        <c:lblAlgn val="ctr"/>
        <c:lblOffset val="100"/>
        <c:noMultiLvlLbl val="0"/>
      </c:catAx>
      <c:valAx>
        <c:axId val="394551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7150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DASHBOARD!O49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c99c66"/>
            </a:solidFill>
            <a:ln w="15120">
              <a:solidFill>
                <a:srgbClr val="c99c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DASHBOARD!$N$50:$N$61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DASHBOARD!$O$50:$O$61</c:f>
              <c:numCache>
                <c:formatCode>#,##0.0;\(#,##0.0\);\—</c:formatCode>
                <c:ptCount val="12"/>
                <c:pt idx="0">
                  <c:v>8510</c:v>
                </c:pt>
                <c:pt idx="1">
                  <c:v>12048.08</c:v>
                </c:pt>
                <c:pt idx="2">
                  <c:v>15614.46464</c:v>
                </c:pt>
                <c:pt idx="3">
                  <c:v>19209.38035712</c:v>
                </c:pt>
                <c:pt idx="4">
                  <c:v>22833.055399977</c:v>
                </c:pt>
                <c:pt idx="5">
                  <c:v>26485.7198431768</c:v>
                </c:pt>
                <c:pt idx="6">
                  <c:v>30167.6056019222</c:v>
                </c:pt>
                <c:pt idx="7">
                  <c:v>33878.9464467376</c:v>
                </c:pt>
                <c:pt idx="8">
                  <c:v>37619.9780183115</c:v>
                </c:pt>
                <c:pt idx="9">
                  <c:v>41390.937842458</c:v>
                </c:pt>
                <c:pt idx="10">
                  <c:v>45192.0653451976</c:v>
                </c:pt>
                <c:pt idx="11">
                  <c:v>49023.6018679592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419926"/>
        <c:axId val="55129694"/>
      </c:lineChart>
      <c:catAx>
        <c:axId val="224199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129694"/>
        <c:crosses val="autoZero"/>
        <c:auto val="1"/>
        <c:lblAlgn val="ctr"/>
        <c:lblOffset val="100"/>
        <c:noMultiLvlLbl val="0"/>
      </c:catAx>
      <c:valAx>
        <c:axId val="55129694"/>
        <c:scaling>
          <c:orientation val="minMax"/>
        </c:scaling>
        <c:delete val="0"/>
        <c:axPos val="l"/>
        <c:numFmt formatCode="#,##0.0;\(#,##0.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4199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Evolução do patrimônio (12m)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PROJECAO!B9</c:f>
              <c:strCache>
                <c:ptCount val="1"/>
                <c:pt idx="0">
                  <c:v>Patrimônio projetado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PROJECAO!$A$10:$A$21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PROJECAO!$B$10:$B$21</c:f>
              <c:numCache>
                <c:formatCode>"R$ "#,##0</c:formatCode>
                <c:ptCount val="12"/>
                <c:pt idx="0">
                  <c:v>8510</c:v>
                </c:pt>
                <c:pt idx="1">
                  <c:v>12048.08</c:v>
                </c:pt>
                <c:pt idx="2">
                  <c:v>15614.46464</c:v>
                </c:pt>
                <c:pt idx="3">
                  <c:v>19209.38035712</c:v>
                </c:pt>
                <c:pt idx="4">
                  <c:v>22833.055399977</c:v>
                </c:pt>
                <c:pt idx="5">
                  <c:v>26485.7198431768</c:v>
                </c:pt>
                <c:pt idx="6">
                  <c:v>30167.6056019222</c:v>
                </c:pt>
                <c:pt idx="7">
                  <c:v>33878.9464467376</c:v>
                </c:pt>
                <c:pt idx="8">
                  <c:v>37619.9780183115</c:v>
                </c:pt>
                <c:pt idx="9">
                  <c:v>41390.937842458</c:v>
                </c:pt>
                <c:pt idx="10">
                  <c:v>45192.0653451976</c:v>
                </c:pt>
                <c:pt idx="11">
                  <c:v>49023.6018679592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459612"/>
        <c:axId val="53475807"/>
      </c:lineChart>
      <c:catAx>
        <c:axId val="254596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475807"/>
        <c:crosses val="autoZero"/>
        <c:auto val="1"/>
        <c:lblAlgn val="ctr"/>
        <c:lblOffset val="100"/>
        <c:noMultiLvlLbl val="0"/>
      </c:catAx>
      <c:valAx>
        <c:axId val="534758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4596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12</xdr:row>
      <xdr:rowOff>0</xdr:rowOff>
    </xdr:from>
    <xdr:to>
      <xdr:col>7</xdr:col>
      <xdr:colOff>746280</xdr:colOff>
      <xdr:row>23</xdr:row>
      <xdr:rowOff>2880</xdr:rowOff>
    </xdr:to>
    <xdr:graphicFrame>
      <xdr:nvGraphicFramePr>
        <xdr:cNvPr id="0" name="Chart 1"/>
        <xdr:cNvGraphicFramePr/>
      </xdr:nvGraphicFramePr>
      <xdr:xfrm>
        <a:off x="4640760" y="2743200"/>
        <a:ext cx="287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25</xdr:row>
      <xdr:rowOff>0</xdr:rowOff>
    </xdr:from>
    <xdr:to>
      <xdr:col>3</xdr:col>
      <xdr:colOff>568080</xdr:colOff>
      <xdr:row>36</xdr:row>
      <xdr:rowOff>2880</xdr:rowOff>
    </xdr:to>
    <xdr:graphicFrame>
      <xdr:nvGraphicFramePr>
        <xdr:cNvPr id="1" name="Chart 2"/>
        <xdr:cNvGraphicFramePr/>
      </xdr:nvGraphicFramePr>
      <xdr:xfrm>
        <a:off x="195480" y="5353200"/>
        <a:ext cx="287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35</xdr:row>
      <xdr:rowOff>0</xdr:rowOff>
    </xdr:from>
    <xdr:to>
      <xdr:col>4</xdr:col>
      <xdr:colOff>221400</xdr:colOff>
      <xdr:row>45</xdr:row>
      <xdr:rowOff>49320</xdr:rowOff>
    </xdr:to>
    <xdr:graphicFrame>
      <xdr:nvGraphicFramePr>
        <xdr:cNvPr id="2" name="Chart 3"/>
        <xdr:cNvGraphicFramePr/>
      </xdr:nvGraphicFramePr>
      <xdr:xfrm>
        <a:off x="195480" y="7391520"/>
        <a:ext cx="3599640" cy="20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47</xdr:row>
      <xdr:rowOff>0</xdr:rowOff>
    </xdr:from>
    <xdr:to>
      <xdr:col>10</xdr:col>
      <xdr:colOff>39240</xdr:colOff>
      <xdr:row>53</xdr:row>
      <xdr:rowOff>91080</xdr:rowOff>
    </xdr:to>
    <xdr:graphicFrame>
      <xdr:nvGraphicFramePr>
        <xdr:cNvPr id="3" name="Chart 4"/>
        <xdr:cNvGraphicFramePr/>
      </xdr:nvGraphicFramePr>
      <xdr:xfrm>
        <a:off x="6774120" y="9810720"/>
        <a:ext cx="3239640" cy="136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8</xdr:row>
      <xdr:rowOff>0</xdr:rowOff>
    </xdr:from>
    <xdr:to>
      <xdr:col>8</xdr:col>
      <xdr:colOff>282600</xdr:colOff>
      <xdr:row>20</xdr:row>
      <xdr:rowOff>100440</xdr:rowOff>
    </xdr:to>
    <xdr:graphicFrame>
      <xdr:nvGraphicFramePr>
        <xdr:cNvPr id="4" name="Chart 1"/>
        <xdr:cNvGraphicFramePr/>
      </xdr:nvGraphicFramePr>
      <xdr:xfrm>
        <a:off x="4089240" y="176220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.2"/>
    <col collapsed="false" customWidth="true" hidden="false" outlineLevel="0" max="2" min="2" style="0" width="14"/>
    <col collapsed="false" customWidth="true" hidden="false" outlineLevel="0" max="11" min="3" style="0" width="12"/>
    <col collapsed="false" customWidth="true" hidden="false" outlineLevel="0" max="12" min="12" style="0" width="2.5"/>
    <col collapsed="false" customWidth="true" hidden="true" outlineLevel="0" max="26" min="26" style="0" width="13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13.5" hidden="false" customHeight="true" outlineLevel="0" collapsed="false">
      <c r="A5" s="4"/>
      <c r="B5" s="5" t="s">
        <v>3</v>
      </c>
      <c r="C5" s="5"/>
      <c r="D5" s="5" t="s">
        <v>4</v>
      </c>
      <c r="E5" s="5"/>
      <c r="F5" s="5" t="s">
        <v>5</v>
      </c>
      <c r="G5" s="5"/>
      <c r="H5" s="5" t="s">
        <v>6</v>
      </c>
      <c r="I5" s="5"/>
      <c r="J5" s="5" t="s">
        <v>7</v>
      </c>
      <c r="K5" s="5"/>
      <c r="L5" s="4"/>
    </row>
    <row r="6" customFormat="false" ht="30" hidden="false" customHeight="true" outlineLevel="0" collapsed="false">
      <c r="A6" s="4"/>
      <c r="B6" s="6" t="n">
        <f aca="false">Z40</f>
        <v>11600</v>
      </c>
      <c r="C6" s="6"/>
      <c r="D6" s="7" t="n">
        <f aca="false">Z41</f>
        <v>8130</v>
      </c>
      <c r="E6" s="7"/>
      <c r="F6" s="8" t="n">
        <f aca="false">Z42</f>
        <v>3470</v>
      </c>
      <c r="G6" s="8"/>
      <c r="H6" s="9" t="n">
        <f aca="false">Z43</f>
        <v>0.299137931034483</v>
      </c>
      <c r="I6" s="9"/>
      <c r="J6" s="10" t="n">
        <f aca="false">Z47</f>
        <v>92</v>
      </c>
      <c r="K6" s="10"/>
      <c r="L6" s="4"/>
    </row>
    <row r="7" customFormat="false" ht="12" hidden="false" customHeight="true" outlineLevel="0" collapsed="false">
      <c r="A7" s="4"/>
      <c r="B7" s="11"/>
      <c r="C7" s="11"/>
      <c r="D7" s="11"/>
      <c r="E7" s="11"/>
      <c r="F7" s="11" t="s">
        <v>8</v>
      </c>
      <c r="G7" s="11"/>
      <c r="H7" s="11"/>
      <c r="I7" s="11"/>
      <c r="J7" s="11" t="s">
        <v>9</v>
      </c>
      <c r="K7" s="11"/>
      <c r="L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customFormat="false" ht="21.75" hidden="false" customHeight="true" outlineLevel="0" collapsed="false">
      <c r="A9" s="4"/>
      <c r="B9" s="12" t="str">
        <f aca="false">IF(Z47&gt;=80,"🟢 Excelente — patrimônio crescendo. Mantenha os aportes.",IF(Z47&gt;=60,"🟡 Saudável — reduza estilo de vida e aumente aportes.",IF(Z47&gt;=40,"🟠 Atenção — controle gastos e comece a investir.","🔴 Crítico — corte dívidas e despesas não essenciais já.")))</f>
        <v>🟢 Excelente — patrimônio crescendo. Mantenha os aportes.</v>
      </c>
      <c r="C9" s="12"/>
      <c r="D9" s="12"/>
      <c r="E9" s="12"/>
      <c r="F9" s="12"/>
      <c r="G9" s="12"/>
      <c r="H9" s="12"/>
      <c r="I9" s="12"/>
      <c r="J9" s="12"/>
      <c r="K9" s="12"/>
      <c r="L9" s="4"/>
    </row>
    <row r="10" customFormat="false" ht="15" hidden="false" customHeight="false" outlineLevel="0" collapsed="false">
      <c r="A10" s="4"/>
      <c r="B10" s="4"/>
      <c r="C10" s="13" t="n">
        <f aca="false">MAX(0,Z42)</f>
        <v>3470</v>
      </c>
      <c r="D10" s="4"/>
      <c r="E10" s="4"/>
      <c r="F10" s="4"/>
      <c r="G10" s="4"/>
      <c r="H10" s="4"/>
      <c r="I10" s="4"/>
      <c r="J10" s="4"/>
      <c r="K10" s="4"/>
      <c r="L10" s="4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customFormat="false" ht="15" hidden="false" customHeight="false" outlineLevel="0" collapsed="false">
      <c r="A12" s="4"/>
      <c r="B12" s="14" t="s">
        <v>10</v>
      </c>
      <c r="C12" s="4"/>
      <c r="D12" s="4"/>
      <c r="E12" s="4"/>
      <c r="F12" s="4"/>
      <c r="G12" s="4"/>
      <c r="H12" s="4"/>
      <c r="I12" s="4"/>
      <c r="J12" s="4"/>
      <c r="K12" s="4"/>
      <c r="L12" s="4"/>
    </row>
    <row r="13" customFormat="false" ht="25.5" hidden="false" customHeight="true" outlineLevel="0" collapsed="false">
      <c r="A13" s="4"/>
      <c r="B13" s="15" t="s">
        <v>11</v>
      </c>
      <c r="C13" s="15" t="s">
        <v>12</v>
      </c>
      <c r="D13" s="15" t="s">
        <v>13</v>
      </c>
      <c r="E13" s="4"/>
      <c r="F13" s="4"/>
      <c r="G13" s="4"/>
      <c r="H13" s="4"/>
      <c r="I13" s="4"/>
      <c r="J13" s="4"/>
      <c r="K13" s="4"/>
      <c r="L13" s="4"/>
    </row>
    <row r="14" customFormat="false" ht="15" hidden="false" customHeight="false" outlineLevel="0" collapsed="false">
      <c r="A14" s="4"/>
      <c r="B14" s="16" t="s">
        <v>14</v>
      </c>
      <c r="C14" s="17" t="n">
        <f aca="false">SUMIFS(LANCAMENTOS!$E:$E,LANCAMENTOS!$B:$B,B14,LANCAMENTOS!$D:$D,"Saída")</f>
        <v>2450</v>
      </c>
      <c r="D14" s="18" t="n">
        <f aca="false">IFERROR(C14/$Z$40,0)</f>
        <v>0.211206896551724</v>
      </c>
      <c r="E14" s="4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4"/>
      <c r="B15" s="16" t="s">
        <v>15</v>
      </c>
      <c r="C15" s="17" t="n">
        <f aca="false">SUMIFS(LANCAMENTOS!$E:$E,LANCAMENTOS!$B:$B,B15,LANCAMENTOS!$D:$D,"Saída")</f>
        <v>1180</v>
      </c>
      <c r="D15" s="18" t="n">
        <f aca="false">IFERROR(C15/$Z$40,0)</f>
        <v>0.101724137931034</v>
      </c>
      <c r="E15" s="4"/>
      <c r="F15" s="4"/>
      <c r="G15" s="4"/>
      <c r="H15" s="4"/>
      <c r="I15" s="4"/>
      <c r="J15" s="4"/>
      <c r="K15" s="4"/>
      <c r="L15" s="4"/>
    </row>
    <row r="16" customFormat="false" ht="15" hidden="false" customHeight="false" outlineLevel="0" collapsed="false">
      <c r="A16" s="4"/>
      <c r="B16" s="16" t="s">
        <v>16</v>
      </c>
      <c r="C16" s="17" t="n">
        <f aca="false">SUMIFS(LANCAMENTOS!$E:$E,LANCAMENTOS!$B:$B,B16,LANCAMENTOS!$D:$D,"Saída")</f>
        <v>560</v>
      </c>
      <c r="D16" s="18" t="n">
        <f aca="false">IFERROR(C16/$Z$40,0)</f>
        <v>0.0482758620689655</v>
      </c>
      <c r="E16" s="4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4"/>
      <c r="B17" s="16" t="s">
        <v>17</v>
      </c>
      <c r="C17" s="17" t="n">
        <f aca="false">SUMIFS(LANCAMENTOS!$E:$E,LANCAMENTOS!$B:$B,B17,LANCAMENTOS!$D:$D,"Saída")</f>
        <v>540</v>
      </c>
      <c r="D17" s="18" t="n">
        <f aca="false">IFERROR(C17/$Z$40,0)</f>
        <v>0.046551724137931</v>
      </c>
      <c r="E17" s="4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4"/>
      <c r="B18" s="16" t="s">
        <v>18</v>
      </c>
      <c r="C18" s="17" t="n">
        <f aca="false">SUMIFS(LANCAMENTOS!$E:$E,LANCAMENTOS!$B:$B,B18,LANCAMENTOS!$D:$D,"Saída")</f>
        <v>0</v>
      </c>
      <c r="D18" s="18" t="n">
        <f aca="false">IFERROR(C18/$Z$40,0)</f>
        <v>0</v>
      </c>
      <c r="E18" s="4"/>
      <c r="F18" s="4"/>
      <c r="G18" s="4"/>
      <c r="H18" s="4"/>
      <c r="I18" s="4"/>
      <c r="J18" s="4"/>
      <c r="K18" s="4"/>
      <c r="L18" s="4"/>
    </row>
    <row r="19" customFormat="false" ht="15" hidden="false" customHeight="false" outlineLevel="0" collapsed="false">
      <c r="A19" s="4"/>
      <c r="B19" s="16" t="s">
        <v>19</v>
      </c>
      <c r="C19" s="17" t="n">
        <f aca="false">SUMIFS(LANCAMENTOS!$E:$E,LANCAMENTOS!$B:$B,B19,LANCAMENTOS!$D:$D,"Saída")</f>
        <v>680</v>
      </c>
      <c r="D19" s="18" t="n">
        <f aca="false">IFERROR(C19/$Z$40,0)</f>
        <v>0.0586206896551724</v>
      </c>
      <c r="E19" s="4"/>
      <c r="F19" s="4"/>
      <c r="G19" s="4"/>
      <c r="H19" s="4"/>
      <c r="I19" s="4"/>
      <c r="J19" s="4"/>
      <c r="K19" s="4"/>
      <c r="L19" s="4"/>
    </row>
    <row r="20" customFormat="false" ht="15" hidden="false" customHeight="false" outlineLevel="0" collapsed="false">
      <c r="A20" s="4"/>
      <c r="B20" s="16" t="s">
        <v>20</v>
      </c>
      <c r="C20" s="17" t="n">
        <f aca="false">SUMIFS(LANCAMENTOS!$E:$E,LANCAMENTOS!$B:$B,B20,LANCAMENTOS!$D:$D,"Saída")</f>
        <v>320</v>
      </c>
      <c r="D20" s="18" t="n">
        <f aca="false">IFERROR(C20/$Z$40,0)</f>
        <v>0.0275862068965517</v>
      </c>
      <c r="E20" s="4"/>
      <c r="F20" s="4"/>
      <c r="G20" s="4"/>
      <c r="H20" s="4"/>
      <c r="I20" s="4"/>
      <c r="J20" s="4"/>
      <c r="K20" s="4"/>
      <c r="L20" s="4"/>
    </row>
    <row r="21" customFormat="false" ht="15" hidden="false" customHeight="false" outlineLevel="0" collapsed="false">
      <c r="A21" s="4"/>
      <c r="B21" s="16" t="s">
        <v>21</v>
      </c>
      <c r="C21" s="17" t="n">
        <f aca="false">SUMIFS(LANCAMENTOS!$E:$E,LANCAMENTOS!$B:$B,B21,LANCAMENTOS!$D:$D,"Saída")</f>
        <v>1500</v>
      </c>
      <c r="D21" s="18" t="n">
        <f aca="false">IFERROR(C21/$Z$40,0)</f>
        <v>0.129310344827586</v>
      </c>
      <c r="E21" s="4"/>
      <c r="F21" s="4"/>
      <c r="G21" s="4"/>
      <c r="H21" s="4"/>
      <c r="I21" s="4"/>
      <c r="J21" s="4"/>
      <c r="K21" s="4"/>
      <c r="L21" s="4"/>
    </row>
    <row r="22" customFormat="false" ht="15" hidden="false" customHeight="false" outlineLevel="0" collapsed="false">
      <c r="A22" s="4"/>
      <c r="B22" s="16" t="s">
        <v>22</v>
      </c>
      <c r="C22" s="17" t="n">
        <f aca="false">SUMIFS(LANCAMENTOS!$E:$E,LANCAMENTOS!$B:$B,B22,LANCAMENTOS!$D:$D,"Saída")</f>
        <v>900</v>
      </c>
      <c r="D22" s="18" t="n">
        <f aca="false">IFERROR(C22/$Z$40,0)</f>
        <v>0.0775862068965517</v>
      </c>
      <c r="E22" s="4"/>
      <c r="F22" s="4"/>
      <c r="G22" s="4"/>
      <c r="H22" s="4"/>
      <c r="I22" s="4"/>
      <c r="J22" s="4"/>
      <c r="K22" s="4"/>
      <c r="L22" s="4"/>
    </row>
    <row r="23" customFormat="false" ht="15" hidden="false" customHeight="false" outlineLevel="0" collapsed="false">
      <c r="A23" s="4"/>
      <c r="B23" s="16" t="s">
        <v>23</v>
      </c>
      <c r="C23" s="17" t="n">
        <f aca="false">SUMIFS(LANCAMENTOS!$E:$E,LANCAMENTOS!$B:$B,B23,LANCAMENTOS!$D:$D,"Saída")</f>
        <v>0</v>
      </c>
      <c r="D23" s="18" t="n">
        <f aca="false">IFERROR(C23/$Z$40,0)</f>
        <v>0</v>
      </c>
      <c r="E23" s="4"/>
      <c r="F23" s="4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4"/>
      <c r="B24" s="16" t="s">
        <v>24</v>
      </c>
      <c r="C24" s="17" t="n">
        <f aca="false">SUMIFS(LANCAMENTOS!$E:$E,LANCAMENTOS!$B:$B,B24,LANCAMENTOS!$D:$D,"Saída")</f>
        <v>0</v>
      </c>
      <c r="D24" s="18" t="n">
        <f aca="false">IFERROR(C24/$Z$40,0)</f>
        <v>0</v>
      </c>
      <c r="E24" s="4"/>
      <c r="F24" s="4"/>
      <c r="G24" s="4"/>
      <c r="H24" s="4"/>
      <c r="I24" s="4"/>
      <c r="J24" s="4"/>
      <c r="K24" s="4"/>
      <c r="L24" s="4"/>
    </row>
    <row r="25" customFormat="false" ht="15" hidden="false" customHeight="false" outlineLevel="0" collapsed="false">
      <c r="A25" s="4"/>
      <c r="B25" s="16" t="s">
        <v>25</v>
      </c>
      <c r="C25" s="17" t="n">
        <f aca="false">SUMIFS(LANCAMENTOS!$E:$E,LANCAMENTOS!$B:$B,B25,LANCAMENTOS!$D:$D,"Saída")</f>
        <v>0</v>
      </c>
      <c r="D25" s="18" t="n">
        <f aca="false">IFERROR(C25/$Z$40,0)</f>
        <v>0</v>
      </c>
      <c r="E25" s="4"/>
      <c r="F25" s="4"/>
      <c r="G25" s="4"/>
      <c r="H25" s="4"/>
      <c r="I25" s="4"/>
      <c r="J25" s="4"/>
      <c r="K25" s="4"/>
      <c r="L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14" t="s">
        <v>26</v>
      </c>
      <c r="G26" s="4"/>
      <c r="H26" s="4"/>
      <c r="I26" s="4"/>
      <c r="J26" s="4"/>
      <c r="K26" s="4"/>
      <c r="L26" s="4"/>
    </row>
    <row r="27" customFormat="false" ht="25.5" hidden="false" customHeight="true" outlineLevel="0" collapsed="false">
      <c r="A27" s="4"/>
      <c r="B27" s="4"/>
      <c r="C27" s="4"/>
      <c r="D27" s="4"/>
      <c r="E27" s="4"/>
      <c r="F27" s="15" t="s">
        <v>27</v>
      </c>
      <c r="G27" s="15" t="s">
        <v>28</v>
      </c>
      <c r="H27" s="4"/>
      <c r="I27" s="4"/>
      <c r="J27" s="4"/>
      <c r="K27" s="4"/>
      <c r="L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19" t="s">
        <v>29</v>
      </c>
      <c r="G28" s="20" t="n">
        <f aca="false">MIN(100,MAX(0,Z43)*400)</f>
        <v>100</v>
      </c>
      <c r="H28" s="4"/>
      <c r="I28" s="4"/>
      <c r="J28" s="4"/>
      <c r="K28" s="4"/>
      <c r="L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19" t="s">
        <v>30</v>
      </c>
      <c r="G29" s="20" t="n">
        <f aca="false">MIN(100,IFERROR(Z44/Z40,0)*400)</f>
        <v>51.7241379310345</v>
      </c>
      <c r="H29" s="4"/>
      <c r="I29" s="4"/>
      <c r="J29" s="4"/>
      <c r="K29" s="4"/>
      <c r="L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19" t="s">
        <v>31</v>
      </c>
      <c r="G30" s="20" t="n">
        <f aca="false">MAX(0,100-(Z46-0.5)*120)</f>
        <v>75.8965517241379</v>
      </c>
      <c r="H30" s="4"/>
      <c r="I30" s="4"/>
      <c r="J30" s="4"/>
      <c r="K30" s="4"/>
      <c r="L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19" t="s">
        <v>32</v>
      </c>
      <c r="G31" s="20" t="n">
        <f aca="false">MAX(0,100-IFERROR(Z45/Z40,0)*300)</f>
        <v>76.7241379310345</v>
      </c>
      <c r="H31" s="4"/>
      <c r="I31" s="4"/>
      <c r="J31" s="4"/>
      <c r="K31" s="4"/>
      <c r="L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19" t="s">
        <v>33</v>
      </c>
      <c r="G32" s="20" t="n">
        <f aca="false">MIN(100,IFERROR(Z42/Z41,0)*100)</f>
        <v>42.6814268142681</v>
      </c>
      <c r="H32" s="4"/>
      <c r="I32" s="4"/>
      <c r="J32" s="4"/>
      <c r="K32" s="4"/>
      <c r="L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customFormat="false" ht="15" hidden="false" customHeight="false" outlineLevel="0" collapsed="false">
      <c r="A36" s="4"/>
      <c r="B36" s="14" t="s">
        <v>34</v>
      </c>
      <c r="C36" s="4"/>
      <c r="D36" s="4"/>
      <c r="E36" s="4"/>
      <c r="F36" s="4"/>
      <c r="G36" s="4"/>
      <c r="H36" s="4"/>
      <c r="I36" s="4"/>
      <c r="J36" s="4"/>
      <c r="K36" s="4"/>
      <c r="L36" s="4"/>
      <c r="N36" s="21" t="s">
        <v>35</v>
      </c>
    </row>
    <row r="37" customFormat="false" ht="25.5" hidden="false" customHeight="true" outlineLevel="0" collapsed="false">
      <c r="A37" s="4"/>
      <c r="B37" s="15" t="s">
        <v>36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4"/>
      <c r="L37" s="4"/>
      <c r="N37" s="15" t="s">
        <v>45</v>
      </c>
      <c r="O37" s="15" t="s">
        <v>46</v>
      </c>
      <c r="P37" s="15" t="s">
        <v>47</v>
      </c>
      <c r="Q37" s="15" t="s">
        <v>48</v>
      </c>
      <c r="R37" s="15" t="s">
        <v>12</v>
      </c>
      <c r="S37" s="15" t="s">
        <v>49</v>
      </c>
    </row>
    <row r="38" customFormat="false" ht="15" hidden="false" customHeight="false" outlineLevel="0" collapsed="false">
      <c r="A38" s="4"/>
      <c r="B38" s="16" t="s">
        <v>50</v>
      </c>
      <c r="C38" s="22" t="n">
        <f aca="false">$Z$43*100</f>
        <v>29.9137931034483</v>
      </c>
      <c r="D38" s="23" t="n">
        <v>10</v>
      </c>
      <c r="E38" s="23" t="n">
        <v>12</v>
      </c>
      <c r="F38" s="23" t="n">
        <v>15</v>
      </c>
      <c r="G38" s="23" t="n">
        <v>18</v>
      </c>
      <c r="H38" s="23" t="n">
        <v>22</v>
      </c>
      <c r="I38" s="23" t="n">
        <f aca="false">$Z$43*100</f>
        <v>29.9137931034483</v>
      </c>
      <c r="J38" s="24" t="str">
        <f aca="false">IF(D38=""," ",MID("▁▂▃▄▅▆▇█",MAX(1,MIN(8,ROUND((D38-(MIN(D38:I38)))/MAX(0.000000001,(MAX(D38:I38))-(MIN(D38:I38)))*7+1,0))),1))&amp;IF(E38=""," ",MID("▁▂▃▄▅▆▇█",MAX(1,MIN(8,ROUND((E38-(MIN(D38:I38)))/MAX(0.000000001,(MAX(D38:I38))-(MIN(D38:I38)))*7+1,0))),1))&amp;IF(F38=""," ",MID("▁▂▃▄▅▆▇█",MAX(1,MIN(8,ROUND((F38-(MIN(D38:I38)))/MAX(0.000000001,(MAX(D38:I38))-(MIN(D38:I38)))*7+1,0))),1))&amp;IF(G38=""," ",MID("▁▂▃▄▅▆▇█",MAX(1,MIN(8,ROUND((G38-(MIN(D38:I38)))/MAX(0.000000001,(MAX(D38:I38))-(MIN(D38:I38)))*7+1,0))),1))&amp;IF(H38=""," ",MID("▁▂▃▄▅▆▇█",MAX(1,MIN(8,ROUND((H38-(MIN(D38:I38)))/MAX(0.000000001,(MAX(D38:I38))-(MIN(D38:I38)))*7+1,0))),1))&amp;IF(I38=""," ",MID("▁▂▃▄▅▆▇█",MAX(1,MIN(8,ROUND((I38-(MIN(D38:I38)))/MAX(0.000000001,(MAX(D38:I38))-(MIN(D38:I38)))*7+1,0))),1))</f>
        <v>▁▂▃▄▅█</v>
      </c>
      <c r="K38" s="4"/>
      <c r="L38" s="4"/>
      <c r="N38" s="25" t="s">
        <v>51</v>
      </c>
      <c r="O38" s="26" t="n">
        <v>0</v>
      </c>
      <c r="P38" s="26" t="n">
        <f aca="false">IF(S38&gt;=0,S38,0)</f>
        <v>11600</v>
      </c>
      <c r="Q38" s="26" t="n">
        <f aca="false">IF(S38&lt;0,-S38,0)</f>
        <v>0</v>
      </c>
      <c r="R38" s="26" t="n">
        <f aca="false">S38</f>
        <v>11600</v>
      </c>
      <c r="S38" s="27" t="n">
        <f aca="false">$Z$40</f>
        <v>11600</v>
      </c>
    </row>
    <row r="39" customFormat="false" ht="15" hidden="false" customHeight="false" outlineLevel="0" collapsed="false">
      <c r="A39" s="4"/>
      <c r="B39" s="16" t="s">
        <v>52</v>
      </c>
      <c r="C39" s="22" t="n">
        <f aca="false">$Z$47</f>
        <v>92</v>
      </c>
      <c r="D39" s="23" t="n">
        <v>55</v>
      </c>
      <c r="E39" s="23" t="n">
        <v>62</v>
      </c>
      <c r="F39" s="23" t="n">
        <v>68</v>
      </c>
      <c r="G39" s="23" t="n">
        <v>74</v>
      </c>
      <c r="H39" s="23" t="n">
        <v>85</v>
      </c>
      <c r="I39" s="23" t="n">
        <f aca="false">$Z$47</f>
        <v>92</v>
      </c>
      <c r="J39" s="24" t="str">
        <f aca="false">IF(D39=""," ",MID("▁▂▃▄▅▆▇█",MAX(1,MIN(8,ROUND((D39-(MIN(D39:I39)))/MAX(0.000000001,(MAX(D39:I39))-(MIN(D39:I39)))*7+1,0))),1))&amp;IF(E39=""," ",MID("▁▂▃▄▅▆▇█",MAX(1,MIN(8,ROUND((E39-(MIN(D39:I39)))/MAX(0.000000001,(MAX(D39:I39))-(MIN(D39:I39)))*7+1,0))),1))&amp;IF(F39=""," ",MID("▁▂▃▄▅▆▇█",MAX(1,MIN(8,ROUND((F39-(MIN(D39:I39)))/MAX(0.000000001,(MAX(D39:I39))-(MIN(D39:I39)))*7+1,0))),1))&amp;IF(G39=""," ",MID("▁▂▃▄▅▆▇█",MAX(1,MIN(8,ROUND((G39-(MIN(D39:I39)))/MAX(0.000000001,(MAX(D39:I39))-(MIN(D39:I39)))*7+1,0))),1))&amp;IF(H39=""," ",MID("▁▂▃▄▅▆▇█",MAX(1,MIN(8,ROUND((H39-(MIN(D39:I39)))/MAX(0.000000001,(MAX(D39:I39))-(MIN(D39:I39)))*7+1,0))),1))&amp;IF(I39=""," ",MID("▁▂▃▄▅▆▇█",MAX(1,MIN(8,ROUND((I39-(MIN(D39:I39)))/MAX(0.000000001,(MAX(D39:I39))-(MIN(D39:I39)))*7+1,0))),1))</f>
        <v>▁▂▃▅▇█</v>
      </c>
      <c r="K39" s="4"/>
      <c r="L39" s="4"/>
      <c r="N39" s="25" t="s">
        <v>53</v>
      </c>
      <c r="O39" s="26" t="n">
        <f aca="false">IF(S39&gt;=0,R38,R38+S39)</f>
        <v>3470</v>
      </c>
      <c r="P39" s="26" t="n">
        <f aca="false">IF(S39&gt;=0,S39,0)</f>
        <v>0</v>
      </c>
      <c r="Q39" s="26" t="n">
        <f aca="false">IF(S39&lt;0,-S39,0)</f>
        <v>8130</v>
      </c>
      <c r="R39" s="26" t="n">
        <f aca="false">R38+S39</f>
        <v>3470</v>
      </c>
      <c r="S39" s="27" t="n">
        <f aca="false">-$Z$41</f>
        <v>-8130</v>
      </c>
    </row>
    <row r="40" customFormat="false" ht="15" hidden="false" customHeight="false" outlineLevel="0" collapsed="false">
      <c r="A40" s="4"/>
      <c r="B40" s="16" t="s">
        <v>21</v>
      </c>
      <c r="C40" s="22" t="n">
        <f aca="false">$Z$44</f>
        <v>1500</v>
      </c>
      <c r="D40" s="23" t="n">
        <v>400</v>
      </c>
      <c r="E40" s="23" t="n">
        <v>600</v>
      </c>
      <c r="F40" s="23" t="n">
        <v>800</v>
      </c>
      <c r="G40" s="23" t="n">
        <v>1000</v>
      </c>
      <c r="H40" s="23" t="n">
        <v>1200</v>
      </c>
      <c r="I40" s="23" t="n">
        <f aca="false">$Z$44</f>
        <v>1500</v>
      </c>
      <c r="J40" s="24" t="str">
        <f aca="false">IF(D40=""," ",MID("▁▂▃▄▅▆▇█",MAX(1,MIN(8,ROUND((D40-(MIN(D40:I40)))/MAX(0.000000001,(MAX(D40:I40))-(MIN(D40:I40)))*7+1,0))),1))&amp;IF(E40=""," ",MID("▁▂▃▄▅▆▇█",MAX(1,MIN(8,ROUND((E40-(MIN(D40:I40)))/MAX(0.000000001,(MAX(D40:I40))-(MIN(D40:I40)))*7+1,0))),1))&amp;IF(F40=""," ",MID("▁▂▃▄▅▆▇█",MAX(1,MIN(8,ROUND((F40-(MIN(D40:I40)))/MAX(0.000000001,(MAX(D40:I40))-(MIN(D40:I40)))*7+1,0))),1))&amp;IF(G40=""," ",MID("▁▂▃▄▅▆▇█",MAX(1,MIN(8,ROUND((G40-(MIN(D40:I40)))/MAX(0.000000001,(MAX(D40:I40))-(MIN(D40:I40)))*7+1,0))),1))&amp;IF(H40=""," ",MID("▁▂▃▄▅▆▇█",MAX(1,MIN(8,ROUND((H40-(MIN(D40:I40)))/MAX(0.000000001,(MAX(D40:I40))-(MIN(D40:I40)))*7+1,0))),1))&amp;IF(I40=""," ",MID("▁▂▃▄▅▆▇█",MAX(1,MIN(8,ROUND((I40-(MIN(D40:I40)))/MAX(0.000000001,(MAX(D40:I40))-(MIN(D40:I40)))*7+1,0))),1))</f>
        <v>▁▂▄▅▆█</v>
      </c>
      <c r="K40" s="4"/>
      <c r="L40" s="4"/>
      <c r="N40" s="25" t="s">
        <v>54</v>
      </c>
      <c r="O40" s="26" t="n">
        <v>0</v>
      </c>
      <c r="P40" s="26" t="n">
        <f aca="false">IF(S40&gt;=0,S40,0)</f>
        <v>3470</v>
      </c>
      <c r="Q40" s="26" t="n">
        <f aca="false">IF(S40&lt;0,-S40,0)</f>
        <v>0</v>
      </c>
      <c r="R40" s="26" t="n">
        <f aca="false">S40</f>
        <v>3470</v>
      </c>
      <c r="S40" s="27" t="n">
        <f aca="false">$Z$42</f>
        <v>3470</v>
      </c>
      <c r="Z40" s="28" t="n">
        <f aca="false">SUMIF(LANCAMENTOS!D:D,"Entrada",LANCAMENTOS!E:E)</f>
        <v>11600</v>
      </c>
    </row>
    <row r="41" customFormat="false" ht="15" hidden="false" customHeight="false" outlineLevel="0" collapsed="false">
      <c r="A41" s="4"/>
      <c r="B41" s="16" t="s">
        <v>22</v>
      </c>
      <c r="C41" s="22" t="n">
        <f aca="false">$Z$45</f>
        <v>900</v>
      </c>
      <c r="D41" s="23" t="n">
        <v>1400</v>
      </c>
      <c r="E41" s="23" t="n">
        <v>1200</v>
      </c>
      <c r="F41" s="23" t="n">
        <v>1100</v>
      </c>
      <c r="G41" s="23" t="n">
        <v>1000</v>
      </c>
      <c r="H41" s="23" t="n">
        <v>950</v>
      </c>
      <c r="I41" s="23" t="n">
        <f aca="false">$Z$45</f>
        <v>900</v>
      </c>
      <c r="J41" s="24" t="str">
        <f aca="false">IF(D41=""," ",MID("▁▂▃▄▅▆▇█",MAX(1,MIN(8,ROUND((D41-(MIN(D41:I41)))/MAX(0.000000001,(MAX(D41:I41))-(MIN(D41:I41)))*7+1,0))),1))&amp;IF(E41=""," ",MID("▁▂▃▄▅▆▇█",MAX(1,MIN(8,ROUND((E41-(MIN(D41:I41)))/MAX(0.000000001,(MAX(D41:I41))-(MIN(D41:I41)))*7+1,0))),1))&amp;IF(F41=""," ",MID("▁▂▃▄▅▆▇█",MAX(1,MIN(8,ROUND((F41-(MIN(D41:I41)))/MAX(0.000000001,(MAX(D41:I41))-(MIN(D41:I41)))*7+1,0))),1))&amp;IF(G41=""," ",MID("▁▂▃▄▅▆▇█",MAX(1,MIN(8,ROUND((G41-(MIN(D41:I41)))/MAX(0.000000001,(MAX(D41:I41))-(MIN(D41:I41)))*7+1,0))),1))&amp;IF(H41=""," ",MID("▁▂▃▄▅▆▇█",MAX(1,MIN(8,ROUND((H41-(MIN(D41:I41)))/MAX(0.000000001,(MAX(D41:I41))-(MIN(D41:I41)))*7+1,0))),1))&amp;IF(I41=""," ",MID("▁▂▃▄▅▆▇█",MAX(1,MIN(8,ROUND((I41-(MIN(D41:I41)))/MAX(0.000000001,(MAX(D41:I41))-(MIN(D41:I41)))*7+1,0))),1))</f>
        <v>█▅▄▂▂▁</v>
      </c>
      <c r="K41" s="4"/>
      <c r="L41" s="4"/>
      <c r="Z41" s="28" t="n">
        <f aca="false">SUMIF(LANCAMENTOS!D:D,"Saída",LANCAMENTOS!E:E)</f>
        <v>8130</v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Z42" s="28" t="n">
        <f aca="false">Z40-Z41</f>
        <v>3470</v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Z43" s="28" t="n">
        <f aca="false">IFERROR(Z42/Z40,0)</f>
        <v>0.299137931034483</v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Z44" s="28" t="n">
        <f aca="false">SUMIF(LANCAMENTOS!B:B,"Investimentos",LANCAMENTOS!E:E)</f>
        <v>1500</v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Z45" s="28" t="n">
        <f aca="false">SUMIF(LANCAMENTOS!B:B,"Dívidas",LANCAMENTOS!E:E)</f>
        <v>900</v>
      </c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Z46" s="28" t="n">
        <f aca="false">IFERROR(Z41/Z40,1)</f>
        <v>0.700862068965517</v>
      </c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Z47" s="28" t="n">
        <f aca="false">ROUND(MAX(0,MIN(100,MIN(40,MAX(0,Z43)*160)+MIN(25,IFERROR(Z44/Z40,0)*250)+MAX(0,20-IFERROR(Z45/Z40,0)*100)+MAX(0,15-(Z46-0.7)*50))),0)</f>
        <v>92</v>
      </c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N48" s="21" t="s">
        <v>55</v>
      </c>
    </row>
    <row r="49" customFormat="false" ht="25.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N49" s="15" t="s">
        <v>56</v>
      </c>
      <c r="O49" s="15" t="s">
        <v>57</v>
      </c>
      <c r="P49" s="29" t="s">
        <v>44</v>
      </c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N50" s="30" t="s">
        <v>58</v>
      </c>
      <c r="O50" s="31" t="n">
        <f aca="false">PROJECAO!B10</f>
        <v>8510</v>
      </c>
      <c r="P50" s="32" t="str">
        <f aca="false">IF(OR(O50="",NOT(ISNUMBER(O50))),"",REPT("▬",MAX(1,ROUND((O50-(MIN(O50:O61)))/MAX(0.000000001,(MAX(O50:O61))-(MIN(O50:O61)))*10,0))))</f>
        <v>▬</v>
      </c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N51" s="30" t="s">
        <v>59</v>
      </c>
      <c r="O51" s="31" t="n">
        <f aca="false">PROJECAO!B11</f>
        <v>12048.08</v>
      </c>
      <c r="P51" s="32" t="str">
        <f aca="false">IF(OR(O51="",NOT(ISNUMBER(O51))),"",REPT("▬",MAX(1,ROUND((O51-(MIN(O50:O61)))/MAX(0.000000001,(MAX(O50:O61))-(MIN(O50:O61)))*10,0))))</f>
        <v>▬</v>
      </c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N52" s="30" t="s">
        <v>60</v>
      </c>
      <c r="O52" s="31" t="n">
        <f aca="false">PROJECAO!B12</f>
        <v>15614.46464</v>
      </c>
      <c r="P52" s="32" t="str">
        <f aca="false">IF(OR(O52="",NOT(ISNUMBER(O52))),"",REPT("▬",MAX(1,ROUND((O52-(MIN(O50:O61)))/MAX(0.000000001,(MAX(O50:O61))-(MIN(O50:O61)))*10,0))))</f>
        <v>▬▬</v>
      </c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N53" s="30" t="s">
        <v>61</v>
      </c>
      <c r="O53" s="31" t="n">
        <f aca="false">PROJECAO!B13</f>
        <v>19209.38035712</v>
      </c>
      <c r="P53" s="32" t="str">
        <f aca="false">IF(OR(O53="",NOT(ISNUMBER(O53))),"",REPT("▬",MAX(1,ROUND((O53-(MIN(O50:O61)))/MAX(0.000000001,(MAX(O50:O61))-(MIN(O50:O61)))*10,0))))</f>
        <v>▬▬▬</v>
      </c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N54" s="30" t="s">
        <v>62</v>
      </c>
      <c r="O54" s="31" t="n">
        <f aca="false">PROJECAO!B14</f>
        <v>22833.055399977</v>
      </c>
      <c r="P54" s="32" t="str">
        <f aca="false">IF(OR(O54="",NOT(ISNUMBER(O54))),"",REPT("▬",MAX(1,ROUND((O54-(MIN(O50:O61)))/MAX(0.000000001,(MAX(O50:O61))-(MIN(O50:O61)))*10,0))))</f>
        <v>▬▬▬▬</v>
      </c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N55" s="30" t="s">
        <v>63</v>
      </c>
      <c r="O55" s="31" t="n">
        <f aca="false">PROJECAO!B15</f>
        <v>26485.7198431768</v>
      </c>
      <c r="P55" s="32" t="str">
        <f aca="false">IF(OR(O55="",NOT(ISNUMBER(O55))),"",REPT("▬",MAX(1,ROUND((O55-(MIN(O50:O61)))/MAX(0.000000001,(MAX(O50:O61))-(MIN(O50:O61)))*10,0))))</f>
        <v>▬▬▬▬</v>
      </c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N56" s="30" t="s">
        <v>64</v>
      </c>
      <c r="O56" s="31" t="n">
        <f aca="false">PROJECAO!B16</f>
        <v>30167.6056019222</v>
      </c>
      <c r="P56" s="32" t="str">
        <f aca="false">IF(OR(O56="",NOT(ISNUMBER(O56))),"",REPT("▬",MAX(1,ROUND((O56-(MIN(O50:O61)))/MAX(0.000000001,(MAX(O50:O61))-(MIN(O50:O61)))*10,0))))</f>
        <v>▬▬▬▬▬</v>
      </c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N57" s="30" t="s">
        <v>65</v>
      </c>
      <c r="O57" s="31" t="n">
        <f aca="false">PROJECAO!B17</f>
        <v>33878.9464467376</v>
      </c>
      <c r="P57" s="32" t="str">
        <f aca="false">IF(OR(O57="",NOT(ISNUMBER(O57))),"",REPT("▬",MAX(1,ROUND((O57-(MIN(O50:O61)))/MAX(0.000000001,(MAX(O50:O61))-(MIN(O50:O61)))*10,0))))</f>
        <v>▬▬▬▬▬▬</v>
      </c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N58" s="30" t="s">
        <v>66</v>
      </c>
      <c r="O58" s="31" t="n">
        <f aca="false">PROJECAO!B18</f>
        <v>37619.9780183115</v>
      </c>
      <c r="P58" s="32" t="str">
        <f aca="false">IF(OR(O58="",NOT(ISNUMBER(O58))),"",REPT("▬",MAX(1,ROUND((O58-(MIN(O50:O61)))/MAX(0.000000001,(MAX(O50:O61))-(MIN(O50:O61)))*10,0))))</f>
        <v>▬▬▬▬▬▬▬</v>
      </c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N59" s="30" t="s">
        <v>67</v>
      </c>
      <c r="O59" s="31" t="n">
        <f aca="false">PROJECAO!B19</f>
        <v>41390.937842458</v>
      </c>
      <c r="P59" s="32" t="str">
        <f aca="false">IF(OR(O59="",NOT(ISNUMBER(O59))),"",REPT("▬",MAX(1,ROUND((O59-(MIN(O50:O61)))/MAX(0.000000001,(MAX(O50:O61))-(MIN(O50:O61)))*10,0))))</f>
        <v>▬▬▬▬▬▬▬▬</v>
      </c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N60" s="30" t="s">
        <v>68</v>
      </c>
      <c r="O60" s="31" t="n">
        <f aca="false">PROJECAO!B20</f>
        <v>45192.0653451976</v>
      </c>
      <c r="P60" s="32" t="str">
        <f aca="false">IF(OR(O60="",NOT(ISNUMBER(O60))),"",REPT("▬",MAX(1,ROUND((O60-(MIN(O50:O61)))/MAX(0.000000001,(MAX(O50:O61))-(MIN(O50:O61)))*10,0))))</f>
        <v>▬▬▬▬▬▬▬▬▬</v>
      </c>
    </row>
    <row r="61" customFormat="false" ht="15" hidden="false" customHeight="false" outlineLevel="0" collapsed="false">
      <c r="N61" s="30" t="s">
        <v>69</v>
      </c>
      <c r="O61" s="31" t="n">
        <f aca="false">PROJECAO!B21</f>
        <v>49023.6018679592</v>
      </c>
      <c r="P61" s="32" t="str">
        <f aca="false">IF(OR(O61="",NOT(ISNUMBER(O61))),"",REPT("▬",MAX(1,ROUND((O61-(MIN(O50:O61)))/MAX(0.000000001,(MAX(O50:O61))-(MIN(O50:O61)))*10,0))))</f>
        <v>▬▬▬▬▬▬▬▬▬▬</v>
      </c>
    </row>
  </sheetData>
  <mergeCells count="19">
    <mergeCell ref="A1:L1"/>
    <mergeCell ref="A2:L2"/>
    <mergeCell ref="A3:L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9:K9"/>
  </mergeCells>
  <conditionalFormatting sqref="C14:C25">
    <cfRule type="dataBar" priority="2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{E0BD6112-8834-4F94-8DA0-C067583022E5}</x14:id>
        </ext>
      </extLst>
    </cfRule>
  </conditionalFormatting>
  <conditionalFormatting sqref="S38:S40">
    <cfRule type="cellIs" priority="3" operator="greaterThan" aboveAverage="0" equalAverage="0" bottom="0" percent="0" rank="0" text="" dxfId="0">
      <formula>0</formula>
    </cfRule>
    <cfRule type="cellIs" priority="4" operator="lessThan" aboveAverage="0" equalAverage="0" bottom="0" percent="0" rank="0" text="" dxfId="1">
      <formula>0</formula>
    </cfRule>
  </conditionalFormatting>
  <conditionalFormatting sqref="C38:C41">
    <cfRule type="dataBar" priority="5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{C05FFED0-A245-4D2B-AEDA-E03F5094D853}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BD6112-8834-4F94-8DA0-C067583022E5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C14:C25</xm:sqref>
        </x14:conditionalFormatting>
        <x14:conditionalFormatting xmlns:xm="http://schemas.microsoft.com/office/excel/2006/main">
          <x14:cfRule type="dataBar" id="{C05FFED0-A245-4D2B-AEDA-E03F5094D853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C38:C41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6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14" t="s">
        <v>70</v>
      </c>
      <c r="B1" s="4"/>
      <c r="C1" s="4"/>
      <c r="D1" s="4"/>
      <c r="E1" s="4"/>
      <c r="F1" s="4"/>
      <c r="G1" s="4"/>
      <c r="H1" s="4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</row>
    <row r="3" customFormat="false" ht="25.5" hidden="false" customHeight="true" outlineLevel="0" collapsed="false">
      <c r="A3" s="15" t="s">
        <v>11</v>
      </c>
      <c r="B3" s="15" t="s">
        <v>71</v>
      </c>
      <c r="C3" s="15" t="s">
        <v>72</v>
      </c>
      <c r="D3" s="33" t="s">
        <v>73</v>
      </c>
      <c r="E3" s="4"/>
      <c r="F3" s="4"/>
      <c r="G3" s="4"/>
      <c r="H3" s="4"/>
    </row>
    <row r="4" customFormat="false" ht="15" hidden="false" customHeight="false" outlineLevel="0" collapsed="false">
      <c r="A4" s="34" t="s">
        <v>14</v>
      </c>
      <c r="B4" s="35" t="n">
        <v>0.3</v>
      </c>
      <c r="C4" s="36" t="s">
        <v>74</v>
      </c>
      <c r="D4" s="34" t="s">
        <v>75</v>
      </c>
      <c r="E4" s="4"/>
      <c r="F4" s="4"/>
      <c r="G4" s="4"/>
      <c r="H4" s="4"/>
    </row>
    <row r="5" customFormat="false" ht="15" hidden="false" customHeight="false" outlineLevel="0" collapsed="false">
      <c r="A5" s="34" t="s">
        <v>15</v>
      </c>
      <c r="B5" s="35" t="n">
        <v>0.15</v>
      </c>
      <c r="C5" s="36" t="s">
        <v>74</v>
      </c>
      <c r="D5" s="34" t="s">
        <v>76</v>
      </c>
      <c r="E5" s="4"/>
      <c r="F5" s="4"/>
      <c r="G5" s="4"/>
      <c r="H5" s="4"/>
    </row>
    <row r="6" customFormat="false" ht="15" hidden="false" customHeight="false" outlineLevel="0" collapsed="false">
      <c r="A6" s="34" t="s">
        <v>16</v>
      </c>
      <c r="B6" s="35" t="n">
        <v>0.1</v>
      </c>
      <c r="C6" s="36" t="s">
        <v>74</v>
      </c>
      <c r="D6" s="4"/>
      <c r="E6" s="4"/>
      <c r="F6" s="4"/>
      <c r="G6" s="4"/>
      <c r="H6" s="4"/>
    </row>
    <row r="7" customFormat="false" ht="15" hidden="false" customHeight="false" outlineLevel="0" collapsed="false">
      <c r="A7" s="34" t="s">
        <v>17</v>
      </c>
      <c r="B7" s="35" t="n">
        <v>0.08</v>
      </c>
      <c r="C7" s="36" t="s">
        <v>74</v>
      </c>
      <c r="D7" s="4"/>
      <c r="E7" s="4"/>
      <c r="F7" s="4"/>
      <c r="G7" s="4"/>
      <c r="H7" s="4"/>
    </row>
    <row r="8" customFormat="false" ht="15" hidden="false" customHeight="false" outlineLevel="0" collapsed="false">
      <c r="A8" s="34" t="s">
        <v>18</v>
      </c>
      <c r="B8" s="35" t="n">
        <v>0.08</v>
      </c>
      <c r="C8" s="36" t="s">
        <v>77</v>
      </c>
      <c r="D8" s="4"/>
      <c r="E8" s="4"/>
      <c r="F8" s="4"/>
      <c r="G8" s="4"/>
      <c r="H8" s="4"/>
    </row>
    <row r="9" customFormat="false" ht="15" hidden="false" customHeight="false" outlineLevel="0" collapsed="false">
      <c r="A9" s="34" t="s">
        <v>19</v>
      </c>
      <c r="B9" s="35" t="n">
        <v>0.08</v>
      </c>
      <c r="C9" s="36" t="s">
        <v>78</v>
      </c>
      <c r="D9" s="4"/>
      <c r="E9" s="4"/>
      <c r="F9" s="4"/>
      <c r="G9" s="4"/>
      <c r="H9" s="4"/>
    </row>
    <row r="10" customFormat="false" ht="15" hidden="false" customHeight="false" outlineLevel="0" collapsed="false">
      <c r="A10" s="34" t="s">
        <v>20</v>
      </c>
      <c r="B10" s="35" t="n">
        <v>0.05</v>
      </c>
      <c r="C10" s="36" t="s">
        <v>78</v>
      </c>
      <c r="D10" s="4"/>
      <c r="E10" s="4"/>
      <c r="F10" s="4"/>
      <c r="G10" s="4"/>
      <c r="H10" s="4"/>
    </row>
    <row r="11" customFormat="false" ht="15" hidden="false" customHeight="false" outlineLevel="0" collapsed="false">
      <c r="A11" s="34" t="s">
        <v>21</v>
      </c>
      <c r="B11" s="35" t="n">
        <v>0.15</v>
      </c>
      <c r="C11" s="36" t="s">
        <v>79</v>
      </c>
      <c r="D11" s="4"/>
      <c r="E11" s="4"/>
      <c r="F11" s="4"/>
      <c r="G11" s="4"/>
      <c r="H11" s="4"/>
    </row>
    <row r="12" customFormat="false" ht="15" hidden="false" customHeight="false" outlineLevel="0" collapsed="false">
      <c r="A12" s="34" t="s">
        <v>22</v>
      </c>
      <c r="B12" s="35" t="n">
        <v>0.1</v>
      </c>
      <c r="C12" s="36" t="s">
        <v>80</v>
      </c>
      <c r="D12" s="4"/>
      <c r="E12" s="4"/>
      <c r="F12" s="4"/>
      <c r="G12" s="4"/>
      <c r="H12" s="4"/>
    </row>
    <row r="13" customFormat="false" ht="15" hidden="false" customHeight="false" outlineLevel="0" collapsed="false">
      <c r="A13" s="34" t="s">
        <v>23</v>
      </c>
      <c r="B13" s="35" t="n">
        <v>0</v>
      </c>
      <c r="C13" s="36" t="s">
        <v>75</v>
      </c>
      <c r="D13" s="4"/>
      <c r="E13" s="4"/>
      <c r="F13" s="4"/>
      <c r="G13" s="4"/>
      <c r="H13" s="4"/>
    </row>
    <row r="14" customFormat="false" ht="15" hidden="false" customHeight="false" outlineLevel="0" collapsed="false">
      <c r="A14" s="34" t="s">
        <v>24</v>
      </c>
      <c r="B14" s="35" t="n">
        <v>0</v>
      </c>
      <c r="C14" s="36" t="s">
        <v>75</v>
      </c>
      <c r="D14" s="4"/>
      <c r="E14" s="4"/>
      <c r="F14" s="4"/>
      <c r="G14" s="4"/>
      <c r="H14" s="4"/>
    </row>
    <row r="15" customFormat="false" ht="15" hidden="false" customHeight="false" outlineLevel="0" collapsed="false">
      <c r="A15" s="34" t="s">
        <v>25</v>
      </c>
      <c r="B15" s="35" t="n">
        <v>0.05</v>
      </c>
      <c r="C15" s="36" t="s">
        <v>78</v>
      </c>
      <c r="D15" s="4"/>
      <c r="E15" s="4"/>
      <c r="F15" s="4"/>
      <c r="G15" s="4"/>
      <c r="H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4"/>
      <c r="H1" s="4"/>
    </row>
    <row r="2" customFormat="false" ht="30" hidden="false" customHeight="true" outlineLevel="0" collapsed="false">
      <c r="A2" s="2" t="s">
        <v>81</v>
      </c>
      <c r="B2" s="2"/>
      <c r="C2" s="2"/>
      <c r="D2" s="2"/>
      <c r="E2" s="2"/>
      <c r="F2" s="2"/>
      <c r="G2" s="4"/>
      <c r="H2" s="4"/>
    </row>
    <row r="3" customFormat="false" ht="18" hidden="false" customHeight="true" outlineLevel="0" collapsed="false">
      <c r="A3" s="3" t="s">
        <v>82</v>
      </c>
      <c r="B3" s="3"/>
      <c r="C3" s="3"/>
      <c r="D3" s="3"/>
      <c r="E3" s="3"/>
      <c r="F3" s="3"/>
      <c r="G3" s="4"/>
      <c r="H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5.5" hidden="false" customHeight="true" outlineLevel="0" collapsed="false">
      <c r="A5" s="15" t="s">
        <v>83</v>
      </c>
      <c r="B5" s="15" t="s">
        <v>11</v>
      </c>
      <c r="C5" s="15" t="s">
        <v>84</v>
      </c>
      <c r="D5" s="15" t="s">
        <v>72</v>
      </c>
      <c r="E5" s="15" t="s">
        <v>57</v>
      </c>
      <c r="F5" s="15" t="s">
        <v>85</v>
      </c>
      <c r="G5" s="4"/>
      <c r="H5" s="4"/>
    </row>
    <row r="6" customFormat="false" ht="15" hidden="false" customHeight="false" outlineLevel="0" collapsed="false">
      <c r="A6" s="37" t="n">
        <v>46205</v>
      </c>
      <c r="B6" s="38" t="s">
        <v>23</v>
      </c>
      <c r="C6" s="38" t="s">
        <v>86</v>
      </c>
      <c r="D6" s="38" t="s">
        <v>75</v>
      </c>
      <c r="E6" s="39" t="n">
        <v>9200</v>
      </c>
      <c r="F6" s="38" t="str">
        <f aca="false">IF(D6&lt;&gt;"Saída","",IF(E6&gt;SUMIF($D$6:$D$205,"Entrada",$E$6:$E$205)*IFERROR(VLOOKUP(B6,CONFIG!$A$4:$B$15,2,0),1),"⚠ acima do teto","ok"))</f>
        <v/>
      </c>
      <c r="G6" s="4"/>
      <c r="H6" s="4"/>
    </row>
    <row r="7" customFormat="false" ht="15" hidden="false" customHeight="false" outlineLevel="0" collapsed="false">
      <c r="A7" s="37" t="n">
        <v>46206</v>
      </c>
      <c r="B7" s="38" t="s">
        <v>14</v>
      </c>
      <c r="C7" s="38" t="s">
        <v>87</v>
      </c>
      <c r="D7" s="38" t="s">
        <v>76</v>
      </c>
      <c r="E7" s="39" t="n">
        <v>2450</v>
      </c>
      <c r="F7" s="38" t="str">
        <f aca="false">IF(D7&lt;&gt;"Saída","",IF(E7&gt;SUMIF($D$6:$D$205,"Entrada",$E$6:$E$205)*IFERROR(VLOOKUP(B7,CONFIG!$A$4:$B$15,2,0),1),"⚠ acima do teto","ok"))</f>
        <v>ok</v>
      </c>
      <c r="G7" s="4"/>
      <c r="H7" s="4"/>
    </row>
    <row r="8" customFormat="false" ht="15" hidden="false" customHeight="false" outlineLevel="0" collapsed="false">
      <c r="A8" s="37" t="n">
        <v>46207</v>
      </c>
      <c r="B8" s="38" t="s">
        <v>15</v>
      </c>
      <c r="C8" s="38" t="s">
        <v>88</v>
      </c>
      <c r="D8" s="38" t="s">
        <v>76</v>
      </c>
      <c r="E8" s="39" t="n">
        <v>1180</v>
      </c>
      <c r="F8" s="38" t="str">
        <f aca="false">IF(D8&lt;&gt;"Saída","",IF(E8&gt;SUMIF($D$6:$D$205,"Entrada",$E$6:$E$205)*IFERROR(VLOOKUP(B8,CONFIG!$A$4:$B$15,2,0),1),"⚠ acima do teto","ok"))</f>
        <v>ok</v>
      </c>
      <c r="G8" s="4"/>
      <c r="H8" s="4"/>
    </row>
    <row r="9" customFormat="false" ht="15" hidden="false" customHeight="false" outlineLevel="0" collapsed="false">
      <c r="A9" s="37" t="n">
        <v>46208</v>
      </c>
      <c r="B9" s="38" t="s">
        <v>20</v>
      </c>
      <c r="C9" s="38" t="s">
        <v>89</v>
      </c>
      <c r="D9" s="38" t="s">
        <v>76</v>
      </c>
      <c r="E9" s="39" t="n">
        <v>320</v>
      </c>
      <c r="F9" s="38" t="str">
        <f aca="false">IF(D9&lt;&gt;"Saída","",IF(E9&gt;SUMIF($D$6:$D$205,"Entrada",$E$6:$E$205)*IFERROR(VLOOKUP(B9,CONFIG!$A$4:$B$15,2,0),1),"⚠ acima do teto","ok"))</f>
        <v>ok</v>
      </c>
      <c r="G9" s="4"/>
      <c r="H9" s="4"/>
    </row>
    <row r="10" customFormat="false" ht="15" hidden="false" customHeight="false" outlineLevel="0" collapsed="false">
      <c r="A10" s="37" t="n">
        <v>46209</v>
      </c>
      <c r="B10" s="38" t="s">
        <v>16</v>
      </c>
      <c r="C10" s="38" t="s">
        <v>90</v>
      </c>
      <c r="D10" s="38" t="s">
        <v>76</v>
      </c>
      <c r="E10" s="39" t="n">
        <v>560</v>
      </c>
      <c r="F10" s="38" t="str">
        <f aca="false">IF(D10&lt;&gt;"Saída","",IF(E10&gt;SUMIF($D$6:$D$205,"Entrada",$E$6:$E$205)*IFERROR(VLOOKUP(B10,CONFIG!$A$4:$B$15,2,0),1),"⚠ acima do teto","ok"))</f>
        <v>ok</v>
      </c>
      <c r="G10" s="4"/>
      <c r="H10" s="4"/>
    </row>
    <row r="11" customFormat="false" ht="15" hidden="false" customHeight="false" outlineLevel="0" collapsed="false">
      <c r="A11" s="37" t="n">
        <v>46210</v>
      </c>
      <c r="B11" s="38" t="s">
        <v>75</v>
      </c>
      <c r="C11" s="38" t="s">
        <v>24</v>
      </c>
      <c r="D11" s="38" t="s">
        <v>75</v>
      </c>
      <c r="E11" s="39" t="n">
        <v>2400</v>
      </c>
      <c r="F11" s="38" t="str">
        <f aca="false">IF(D11&lt;&gt;"Saída","",IF(E11&gt;SUMIF($D$6:$D$205,"Entrada",$E$6:$E$205)*IFERROR(VLOOKUP(B11,CONFIG!$A$4:$B$15,2,0),1),"⚠ acima do teto","ok"))</f>
        <v/>
      </c>
      <c r="G11" s="4"/>
      <c r="H11" s="4"/>
    </row>
    <row r="12" customFormat="false" ht="15" hidden="false" customHeight="false" outlineLevel="0" collapsed="false">
      <c r="A12" s="37" t="n">
        <v>46211</v>
      </c>
      <c r="B12" s="38" t="s">
        <v>19</v>
      </c>
      <c r="C12" s="38" t="s">
        <v>91</v>
      </c>
      <c r="D12" s="38" t="s">
        <v>76</v>
      </c>
      <c r="E12" s="39" t="n">
        <v>680</v>
      </c>
      <c r="F12" s="38" t="str">
        <f aca="false">IF(D12&lt;&gt;"Saída","",IF(E12&gt;SUMIF($D$6:$D$205,"Entrada",$E$6:$E$205)*IFERROR(VLOOKUP(B12,CONFIG!$A$4:$B$15,2,0),1),"⚠ acima do teto","ok"))</f>
        <v>ok</v>
      </c>
      <c r="G12" s="4"/>
      <c r="H12" s="4"/>
    </row>
    <row r="13" customFormat="false" ht="15" hidden="false" customHeight="false" outlineLevel="0" collapsed="false">
      <c r="A13" s="37" t="n">
        <v>46212</v>
      </c>
      <c r="B13" s="38" t="s">
        <v>17</v>
      </c>
      <c r="C13" s="38" t="s">
        <v>92</v>
      </c>
      <c r="D13" s="38" t="s">
        <v>76</v>
      </c>
      <c r="E13" s="39" t="n">
        <v>540</v>
      </c>
      <c r="F13" s="38" t="str">
        <f aca="false">IF(D13&lt;&gt;"Saída","",IF(E13&gt;SUMIF($D$6:$D$205,"Entrada",$E$6:$E$205)*IFERROR(VLOOKUP(B13,CONFIG!$A$4:$B$15,2,0),1),"⚠ acima do teto","ok"))</f>
        <v>ok</v>
      </c>
      <c r="G13" s="4"/>
      <c r="H13" s="4"/>
    </row>
    <row r="14" customFormat="false" ht="15" hidden="false" customHeight="false" outlineLevel="0" collapsed="false">
      <c r="A14" s="37" t="n">
        <v>46214</v>
      </c>
      <c r="B14" s="38" t="s">
        <v>21</v>
      </c>
      <c r="C14" s="38" t="s">
        <v>93</v>
      </c>
      <c r="D14" s="38" t="s">
        <v>76</v>
      </c>
      <c r="E14" s="39" t="n">
        <v>1500</v>
      </c>
      <c r="F14" s="38" t="str">
        <f aca="false">IF(D14&lt;&gt;"Saída","",IF(E14&gt;SUMIF($D$6:$D$205,"Entrada",$E$6:$E$205)*IFERROR(VLOOKUP(B14,CONFIG!$A$4:$B$15,2,0),1),"⚠ acima do teto","ok"))</f>
        <v>ok</v>
      </c>
      <c r="G14" s="4"/>
      <c r="H14" s="4"/>
    </row>
    <row r="15" customFormat="false" ht="15" hidden="false" customHeight="false" outlineLevel="0" collapsed="false">
      <c r="A15" s="37" t="n">
        <v>46216</v>
      </c>
      <c r="B15" s="38" t="s">
        <v>22</v>
      </c>
      <c r="C15" s="38" t="s">
        <v>94</v>
      </c>
      <c r="D15" s="38" t="s">
        <v>76</v>
      </c>
      <c r="E15" s="39" t="n">
        <v>900</v>
      </c>
      <c r="F15" s="38" t="str">
        <f aca="false">IF(D15&lt;&gt;"Saída","",IF(E15&gt;SUMIF($D$6:$D$205,"Entrada",$E$6:$E$205)*IFERROR(VLOOKUP(B15,CONFIG!$A$4:$B$15,2,0),1),"⚠ acima do teto","ok"))</f>
        <v>ok</v>
      </c>
      <c r="G15" s="4"/>
      <c r="H15" s="4"/>
    </row>
    <row r="16" customFormat="false" ht="15" hidden="false" customHeight="false" outlineLevel="0" collapsed="false">
      <c r="A16" s="37"/>
      <c r="B16" s="38"/>
      <c r="C16" s="38"/>
      <c r="D16" s="38"/>
      <c r="E16" s="39"/>
      <c r="F16" s="38" t="str">
        <f aca="false">IF(D16&lt;&gt;"Saída","",IF(E16&gt;SUMIF($D$6:$D$205,"Entrada",$E$6:$E$205)*IFERROR(VLOOKUP(B16,CONFIG!$A$4:$B$15,2,0),1),"⚠ acima do teto","ok"))</f>
        <v/>
      </c>
      <c r="G16" s="4"/>
      <c r="H16" s="4"/>
    </row>
    <row r="17" customFormat="false" ht="15" hidden="false" customHeight="false" outlineLevel="0" collapsed="false">
      <c r="A17" s="37"/>
      <c r="B17" s="38"/>
      <c r="C17" s="38"/>
      <c r="D17" s="38"/>
      <c r="E17" s="39"/>
      <c r="F17" s="38" t="str">
        <f aca="false">IF(D17&lt;&gt;"Saída","",IF(E17&gt;SUMIF($D$6:$D$205,"Entrada",$E$6:$E$205)*IFERROR(VLOOKUP(B17,CONFIG!$A$4:$B$15,2,0),1),"⚠ acima do teto","ok"))</f>
        <v/>
      </c>
      <c r="G17" s="4"/>
      <c r="H17" s="4"/>
    </row>
    <row r="18" customFormat="false" ht="15" hidden="false" customHeight="false" outlineLevel="0" collapsed="false">
      <c r="A18" s="37"/>
      <c r="B18" s="38"/>
      <c r="C18" s="38"/>
      <c r="D18" s="38"/>
      <c r="E18" s="39"/>
      <c r="F18" s="38" t="str">
        <f aca="false">IF(D18&lt;&gt;"Saída","",IF(E18&gt;SUMIF($D$6:$D$205,"Entrada",$E$6:$E$205)*IFERROR(VLOOKUP(B18,CONFIG!$A$4:$B$15,2,0),1),"⚠ acima do teto","ok"))</f>
        <v/>
      </c>
      <c r="G18" s="4"/>
      <c r="H18" s="4"/>
    </row>
    <row r="19" customFormat="false" ht="15" hidden="false" customHeight="false" outlineLevel="0" collapsed="false">
      <c r="A19" s="37"/>
      <c r="B19" s="38"/>
      <c r="C19" s="38"/>
      <c r="D19" s="38"/>
      <c r="E19" s="39"/>
      <c r="F19" s="38" t="str">
        <f aca="false">IF(D19&lt;&gt;"Saída","",IF(E19&gt;SUMIF($D$6:$D$205,"Entrada",$E$6:$E$205)*IFERROR(VLOOKUP(B19,CONFIG!$A$4:$B$15,2,0),1),"⚠ acima do teto","ok"))</f>
        <v/>
      </c>
      <c r="G19" s="4"/>
      <c r="H19" s="4"/>
    </row>
    <row r="20" customFormat="false" ht="15" hidden="false" customHeight="false" outlineLevel="0" collapsed="false">
      <c r="A20" s="37"/>
      <c r="B20" s="38"/>
      <c r="C20" s="38"/>
      <c r="D20" s="38"/>
      <c r="E20" s="39"/>
      <c r="F20" s="38" t="str">
        <f aca="false">IF(D20&lt;&gt;"Saída","",IF(E20&gt;SUMIF($D$6:$D$205,"Entrada",$E$6:$E$205)*IFERROR(VLOOKUP(B20,CONFIG!$A$4:$B$15,2,0),1),"⚠ acima do teto","ok"))</f>
        <v/>
      </c>
      <c r="G20" s="4"/>
      <c r="H20" s="4"/>
    </row>
    <row r="21" customFormat="false" ht="15" hidden="false" customHeight="false" outlineLevel="0" collapsed="false">
      <c r="A21" s="37"/>
      <c r="B21" s="38"/>
      <c r="C21" s="38"/>
      <c r="D21" s="38"/>
      <c r="E21" s="39"/>
      <c r="F21" s="38" t="str">
        <f aca="false">IF(D21&lt;&gt;"Saída","",IF(E21&gt;SUMIF($D$6:$D$205,"Entrada",$E$6:$E$205)*IFERROR(VLOOKUP(B21,CONFIG!$A$4:$B$15,2,0),1),"⚠ acima do teto","ok"))</f>
        <v/>
      </c>
      <c r="G21" s="4"/>
      <c r="H21" s="4"/>
    </row>
    <row r="22" customFormat="false" ht="15" hidden="false" customHeight="false" outlineLevel="0" collapsed="false">
      <c r="A22" s="37"/>
      <c r="B22" s="38"/>
      <c r="C22" s="38"/>
      <c r="D22" s="38"/>
      <c r="E22" s="39"/>
      <c r="F22" s="38" t="str">
        <f aca="false">IF(D22&lt;&gt;"Saída","",IF(E22&gt;SUMIF($D$6:$D$205,"Entrada",$E$6:$E$205)*IFERROR(VLOOKUP(B22,CONFIG!$A$4:$B$15,2,0),1),"⚠ acima do teto","ok"))</f>
        <v/>
      </c>
      <c r="G22" s="4"/>
      <c r="H22" s="4"/>
    </row>
    <row r="23" customFormat="false" ht="15" hidden="false" customHeight="false" outlineLevel="0" collapsed="false">
      <c r="A23" s="37"/>
      <c r="B23" s="38"/>
      <c r="C23" s="38"/>
      <c r="D23" s="38"/>
      <c r="E23" s="39"/>
      <c r="F23" s="38" t="str">
        <f aca="false">IF(D23&lt;&gt;"Saída","",IF(E23&gt;SUMIF($D$6:$D$205,"Entrada",$E$6:$E$205)*IFERROR(VLOOKUP(B23,CONFIG!$A$4:$B$15,2,0),1),"⚠ acima do teto","ok"))</f>
        <v/>
      </c>
      <c r="G23" s="4"/>
      <c r="H23" s="4"/>
    </row>
    <row r="24" customFormat="false" ht="15" hidden="false" customHeight="false" outlineLevel="0" collapsed="false">
      <c r="A24" s="37"/>
      <c r="B24" s="38"/>
      <c r="C24" s="38"/>
      <c r="D24" s="38"/>
      <c r="E24" s="39"/>
      <c r="F24" s="38" t="str">
        <f aca="false">IF(D24&lt;&gt;"Saída","",IF(E24&gt;SUMIF($D$6:$D$205,"Entrada",$E$6:$E$205)*IFERROR(VLOOKUP(B24,CONFIG!$A$4:$B$15,2,0),1),"⚠ acima do teto","ok"))</f>
        <v/>
      </c>
      <c r="G24" s="4"/>
      <c r="H24" s="4"/>
    </row>
    <row r="25" customFormat="false" ht="15" hidden="false" customHeight="false" outlineLevel="0" collapsed="false">
      <c r="A25" s="37"/>
      <c r="B25" s="38"/>
      <c r="C25" s="38"/>
      <c r="D25" s="38"/>
      <c r="E25" s="39"/>
      <c r="F25" s="38" t="str">
        <f aca="false">IF(D25&lt;&gt;"Saída","",IF(E25&gt;SUMIF($D$6:$D$205,"Entrada",$E$6:$E$205)*IFERROR(VLOOKUP(B25,CONFIG!$A$4:$B$15,2,0),1),"⚠ acima do teto","ok"))</f>
        <v/>
      </c>
      <c r="G25" s="4"/>
      <c r="H25" s="4"/>
    </row>
    <row r="26" customFormat="false" ht="15" hidden="false" customHeight="false" outlineLevel="0" collapsed="false">
      <c r="A26" s="37"/>
      <c r="B26" s="38"/>
      <c r="C26" s="38"/>
      <c r="D26" s="38"/>
      <c r="E26" s="39"/>
      <c r="F26" s="38" t="str">
        <f aca="false">IF(D26&lt;&gt;"Saída","",IF(E26&gt;SUMIF($D$6:$D$205,"Entrada",$E$6:$E$205)*IFERROR(VLOOKUP(B26,CONFIG!$A$4:$B$15,2,0),1),"⚠ acima do teto","ok"))</f>
        <v/>
      </c>
      <c r="G26" s="4"/>
      <c r="H26" s="4"/>
    </row>
    <row r="27" customFormat="false" ht="15" hidden="false" customHeight="false" outlineLevel="0" collapsed="false">
      <c r="A27" s="37"/>
      <c r="B27" s="38"/>
      <c r="C27" s="38"/>
      <c r="D27" s="38"/>
      <c r="E27" s="39"/>
      <c r="F27" s="38" t="str">
        <f aca="false">IF(D27&lt;&gt;"Saída","",IF(E27&gt;SUMIF($D$6:$D$205,"Entrada",$E$6:$E$205)*IFERROR(VLOOKUP(B27,CONFIG!$A$4:$B$15,2,0),1),"⚠ acima do teto","ok"))</f>
        <v/>
      </c>
      <c r="G27" s="4"/>
      <c r="H27" s="4"/>
    </row>
    <row r="28" customFormat="false" ht="15" hidden="false" customHeight="false" outlineLevel="0" collapsed="false">
      <c r="A28" s="37"/>
      <c r="B28" s="38"/>
      <c r="C28" s="38"/>
      <c r="D28" s="38"/>
      <c r="E28" s="39"/>
      <c r="F28" s="38" t="str">
        <f aca="false">IF(D28&lt;&gt;"Saída","",IF(E28&gt;SUMIF($D$6:$D$205,"Entrada",$E$6:$E$205)*IFERROR(VLOOKUP(B28,CONFIG!$A$4:$B$15,2,0),1),"⚠ acima do teto","ok"))</f>
        <v/>
      </c>
      <c r="G28" s="4"/>
      <c r="H28" s="4"/>
    </row>
    <row r="29" customFormat="false" ht="15" hidden="false" customHeight="false" outlineLevel="0" collapsed="false">
      <c r="A29" s="37"/>
      <c r="B29" s="38"/>
      <c r="C29" s="38"/>
      <c r="D29" s="38"/>
      <c r="E29" s="39"/>
      <c r="F29" s="38" t="str">
        <f aca="false">IF(D29&lt;&gt;"Saída","",IF(E29&gt;SUMIF($D$6:$D$205,"Entrada",$E$6:$E$205)*IFERROR(VLOOKUP(B29,CONFIG!$A$4:$B$15,2,0),1),"⚠ acima do teto","ok"))</f>
        <v/>
      </c>
      <c r="G29" s="4"/>
      <c r="H29" s="4"/>
    </row>
    <row r="30" customFormat="false" ht="15" hidden="false" customHeight="false" outlineLevel="0" collapsed="false">
      <c r="A30" s="37"/>
      <c r="B30" s="38"/>
      <c r="C30" s="38"/>
      <c r="D30" s="38"/>
      <c r="E30" s="39"/>
      <c r="F30" s="38" t="str">
        <f aca="false">IF(D30&lt;&gt;"Saída","",IF(E30&gt;SUMIF($D$6:$D$205,"Entrada",$E$6:$E$205)*IFERROR(VLOOKUP(B30,CONFIG!$A$4:$B$15,2,0),1),"⚠ acima do teto","ok"))</f>
        <v/>
      </c>
      <c r="G30" s="4"/>
      <c r="H30" s="4"/>
    </row>
    <row r="31" customFormat="false" ht="15" hidden="false" customHeight="false" outlineLevel="0" collapsed="false">
      <c r="A31" s="37"/>
      <c r="B31" s="38"/>
      <c r="C31" s="38"/>
      <c r="D31" s="38"/>
      <c r="E31" s="39"/>
      <c r="F31" s="38" t="str">
        <f aca="false">IF(D31&lt;&gt;"Saída","",IF(E31&gt;SUMIF($D$6:$D$205,"Entrada",$E$6:$E$205)*IFERROR(VLOOKUP(B31,CONFIG!$A$4:$B$15,2,0),1),"⚠ acima do teto","ok"))</f>
        <v/>
      </c>
      <c r="G31" s="4"/>
      <c r="H31" s="4"/>
    </row>
    <row r="32" customFormat="false" ht="15" hidden="false" customHeight="false" outlineLevel="0" collapsed="false">
      <c r="A32" s="37"/>
      <c r="B32" s="38"/>
      <c r="C32" s="38"/>
      <c r="D32" s="38"/>
      <c r="E32" s="39"/>
      <c r="F32" s="38" t="str">
        <f aca="false">IF(D32&lt;&gt;"Saída","",IF(E32&gt;SUMIF($D$6:$D$205,"Entrada",$E$6:$E$205)*IFERROR(VLOOKUP(B32,CONFIG!$A$4:$B$15,2,0),1),"⚠ acima do teto","ok"))</f>
        <v/>
      </c>
      <c r="G32" s="4"/>
      <c r="H32" s="4"/>
    </row>
    <row r="33" customFormat="false" ht="15" hidden="false" customHeight="false" outlineLevel="0" collapsed="false">
      <c r="A33" s="37"/>
      <c r="B33" s="38"/>
      <c r="C33" s="38"/>
      <c r="D33" s="38"/>
      <c r="E33" s="39"/>
      <c r="F33" s="38" t="str">
        <f aca="false">IF(D33&lt;&gt;"Saída","",IF(E33&gt;SUMIF($D$6:$D$205,"Entrada",$E$6:$E$205)*IFERROR(VLOOKUP(B33,CONFIG!$A$4:$B$15,2,0),1),"⚠ acima do teto","ok"))</f>
        <v/>
      </c>
      <c r="G33" s="4"/>
      <c r="H33" s="4"/>
    </row>
    <row r="34" customFormat="false" ht="15" hidden="false" customHeight="false" outlineLevel="0" collapsed="false">
      <c r="A34" s="37"/>
      <c r="B34" s="38"/>
      <c r="C34" s="38"/>
      <c r="D34" s="38"/>
      <c r="E34" s="39"/>
      <c r="F34" s="38" t="str">
        <f aca="false">IF(D34&lt;&gt;"Saída","",IF(E34&gt;SUMIF($D$6:$D$205,"Entrada",$E$6:$E$205)*IFERROR(VLOOKUP(B34,CONFIG!$A$4:$B$15,2,0),1),"⚠ acima do teto","ok"))</f>
        <v/>
      </c>
      <c r="G34" s="4"/>
      <c r="H34" s="4"/>
    </row>
    <row r="35" customFormat="false" ht="15" hidden="false" customHeight="false" outlineLevel="0" collapsed="false">
      <c r="A35" s="37"/>
      <c r="B35" s="38"/>
      <c r="C35" s="38"/>
      <c r="D35" s="38"/>
      <c r="E35" s="39"/>
      <c r="F35" s="38" t="str">
        <f aca="false">IF(D35&lt;&gt;"Saída","",IF(E35&gt;SUMIF($D$6:$D$205,"Entrada",$E$6:$E$205)*IFERROR(VLOOKUP(B35,CONFIG!$A$4:$B$15,2,0),1),"⚠ acima do teto","ok"))</f>
        <v/>
      </c>
      <c r="G35" s="4"/>
      <c r="H35" s="4"/>
    </row>
    <row r="36" customFormat="false" ht="15" hidden="false" customHeight="false" outlineLevel="0" collapsed="false">
      <c r="A36" s="37"/>
      <c r="B36" s="38"/>
      <c r="C36" s="38"/>
      <c r="D36" s="38"/>
      <c r="E36" s="39"/>
      <c r="F36" s="38" t="str">
        <f aca="false">IF(D36&lt;&gt;"Saída","",IF(E36&gt;SUMIF($D$6:$D$205,"Entrada",$E$6:$E$205)*IFERROR(VLOOKUP(B36,CONFIG!$A$4:$B$15,2,0),1),"⚠ acima do teto","ok"))</f>
        <v/>
      </c>
      <c r="G36" s="4"/>
      <c r="H36" s="4"/>
    </row>
    <row r="37" customFormat="false" ht="15" hidden="false" customHeight="false" outlineLevel="0" collapsed="false">
      <c r="A37" s="37"/>
      <c r="B37" s="38"/>
      <c r="C37" s="38"/>
      <c r="D37" s="38"/>
      <c r="E37" s="39"/>
      <c r="F37" s="38" t="str">
        <f aca="false">IF(D37&lt;&gt;"Saída","",IF(E37&gt;SUMIF($D$6:$D$205,"Entrada",$E$6:$E$205)*IFERROR(VLOOKUP(B37,CONFIG!$A$4:$B$15,2,0),1),"⚠ acima do teto","ok"))</f>
        <v/>
      </c>
      <c r="G37" s="4"/>
      <c r="H37" s="4"/>
    </row>
    <row r="38" customFormat="false" ht="15" hidden="false" customHeight="false" outlineLevel="0" collapsed="false">
      <c r="A38" s="37"/>
      <c r="B38" s="38"/>
      <c r="C38" s="38"/>
      <c r="D38" s="38"/>
      <c r="E38" s="39"/>
      <c r="F38" s="38" t="str">
        <f aca="false">IF(D38&lt;&gt;"Saída","",IF(E38&gt;SUMIF($D$6:$D$205,"Entrada",$E$6:$E$205)*IFERROR(VLOOKUP(B38,CONFIG!$A$4:$B$15,2,0),1),"⚠ acima do teto","ok"))</f>
        <v/>
      </c>
      <c r="G38" s="4"/>
      <c r="H38" s="4"/>
    </row>
    <row r="39" customFormat="false" ht="15" hidden="false" customHeight="false" outlineLevel="0" collapsed="false">
      <c r="A39" s="37"/>
      <c r="B39" s="38"/>
      <c r="C39" s="38"/>
      <c r="D39" s="38"/>
      <c r="E39" s="39"/>
      <c r="F39" s="38" t="str">
        <f aca="false">IF(D39&lt;&gt;"Saída","",IF(E39&gt;SUMIF($D$6:$D$205,"Entrada",$E$6:$E$205)*IFERROR(VLOOKUP(B39,CONFIG!$A$4:$B$15,2,0),1),"⚠ acima do teto","ok"))</f>
        <v/>
      </c>
      <c r="G39" s="4"/>
      <c r="H39" s="4"/>
    </row>
    <row r="40" customFormat="false" ht="15" hidden="false" customHeight="false" outlineLevel="0" collapsed="false">
      <c r="A40" s="37"/>
      <c r="B40" s="38"/>
      <c r="C40" s="38"/>
      <c r="D40" s="38"/>
      <c r="E40" s="39"/>
      <c r="F40" s="38" t="str">
        <f aca="false">IF(D40&lt;&gt;"Saída","",IF(E40&gt;SUMIF($D$6:$D$205,"Entrada",$E$6:$E$205)*IFERROR(VLOOKUP(B40,CONFIG!$A$4:$B$15,2,0),1),"⚠ acima do teto","ok"))</f>
        <v/>
      </c>
      <c r="G40" s="4"/>
      <c r="H40" s="4"/>
    </row>
    <row r="41" customFormat="false" ht="15" hidden="false" customHeight="false" outlineLevel="0" collapsed="false">
      <c r="A41" s="37"/>
      <c r="B41" s="38"/>
      <c r="C41" s="38"/>
      <c r="D41" s="38"/>
      <c r="E41" s="39"/>
      <c r="F41" s="38" t="str">
        <f aca="false">IF(D41&lt;&gt;"Saída","",IF(E41&gt;SUMIF($D$6:$D$205,"Entrada",$E$6:$E$205)*IFERROR(VLOOKUP(B41,CONFIG!$A$4:$B$15,2,0),1),"⚠ acima do teto","ok"))</f>
        <v/>
      </c>
      <c r="G41" s="4"/>
      <c r="H41" s="4"/>
    </row>
    <row r="42" customFormat="false" ht="15" hidden="false" customHeight="false" outlineLevel="0" collapsed="false">
      <c r="A42" s="37"/>
      <c r="B42" s="38"/>
      <c r="C42" s="38"/>
      <c r="D42" s="38"/>
      <c r="E42" s="39"/>
      <c r="F42" s="38" t="str">
        <f aca="false">IF(D42&lt;&gt;"Saída","",IF(E42&gt;SUMIF($D$6:$D$205,"Entrada",$E$6:$E$205)*IFERROR(VLOOKUP(B42,CONFIG!$A$4:$B$15,2,0),1),"⚠ acima do teto","ok"))</f>
        <v/>
      </c>
      <c r="G42" s="4"/>
      <c r="H42" s="4"/>
    </row>
    <row r="43" customFormat="false" ht="15" hidden="false" customHeight="false" outlineLevel="0" collapsed="false">
      <c r="A43" s="37"/>
      <c r="B43" s="38"/>
      <c r="C43" s="38"/>
      <c r="D43" s="38"/>
      <c r="E43" s="39"/>
      <c r="F43" s="38" t="str">
        <f aca="false">IF(D43&lt;&gt;"Saída","",IF(E43&gt;SUMIF($D$6:$D$205,"Entrada",$E$6:$E$205)*IFERROR(VLOOKUP(B43,CONFIG!$A$4:$B$15,2,0),1),"⚠ acima do teto","ok"))</f>
        <v/>
      </c>
      <c r="G43" s="4"/>
      <c r="H43" s="4"/>
    </row>
    <row r="44" customFormat="false" ht="15" hidden="false" customHeight="false" outlineLevel="0" collapsed="false">
      <c r="A44" s="37"/>
      <c r="B44" s="38"/>
      <c r="C44" s="38"/>
      <c r="D44" s="38"/>
      <c r="E44" s="39"/>
      <c r="F44" s="38" t="str">
        <f aca="false">IF(D44&lt;&gt;"Saída","",IF(E44&gt;SUMIF($D$6:$D$205,"Entrada",$E$6:$E$205)*IFERROR(VLOOKUP(B44,CONFIG!$A$4:$B$15,2,0),1),"⚠ acima do teto","ok"))</f>
        <v/>
      </c>
      <c r="G44" s="4"/>
      <c r="H44" s="4"/>
    </row>
    <row r="45" customFormat="false" ht="15" hidden="false" customHeight="false" outlineLevel="0" collapsed="false">
      <c r="A45" s="37"/>
      <c r="B45" s="38"/>
      <c r="C45" s="38"/>
      <c r="D45" s="38"/>
      <c r="E45" s="39"/>
      <c r="F45" s="38" t="str">
        <f aca="false">IF(D45&lt;&gt;"Saída","",IF(E45&gt;SUMIF($D$6:$D$205,"Entrada",$E$6:$E$205)*IFERROR(VLOOKUP(B45,CONFIG!$A$4:$B$15,2,0),1),"⚠ acima do teto","ok"))</f>
        <v/>
      </c>
      <c r="G45" s="4"/>
      <c r="H45" s="4"/>
    </row>
    <row r="46" customFormat="false" ht="15" hidden="false" customHeight="false" outlineLevel="0" collapsed="false">
      <c r="A46" s="37"/>
      <c r="B46" s="38"/>
      <c r="C46" s="38"/>
      <c r="D46" s="38"/>
      <c r="E46" s="39"/>
      <c r="F46" s="38" t="str">
        <f aca="false">IF(D46&lt;&gt;"Saída","",IF(E46&gt;SUMIF($D$6:$D$205,"Entrada",$E$6:$E$205)*IFERROR(VLOOKUP(B46,CONFIG!$A$4:$B$15,2,0),1),"⚠ acima do teto","ok"))</f>
        <v/>
      </c>
      <c r="G46" s="4"/>
      <c r="H46" s="4"/>
    </row>
    <row r="47" customFormat="false" ht="15" hidden="false" customHeight="false" outlineLevel="0" collapsed="false">
      <c r="A47" s="37"/>
      <c r="B47" s="38"/>
      <c r="C47" s="38"/>
      <c r="D47" s="38"/>
      <c r="E47" s="39"/>
      <c r="F47" s="38" t="str">
        <f aca="false">IF(D47&lt;&gt;"Saída","",IF(E47&gt;SUMIF($D$6:$D$205,"Entrada",$E$6:$E$205)*IFERROR(VLOOKUP(B47,CONFIG!$A$4:$B$15,2,0),1),"⚠ acima do teto","ok"))</f>
        <v/>
      </c>
      <c r="G47" s="4"/>
      <c r="H47" s="4"/>
    </row>
    <row r="48" customFormat="false" ht="15" hidden="false" customHeight="false" outlineLevel="0" collapsed="false">
      <c r="A48" s="37"/>
      <c r="B48" s="38"/>
      <c r="C48" s="38"/>
      <c r="D48" s="38"/>
      <c r="E48" s="39"/>
      <c r="F48" s="38" t="str">
        <f aca="false">IF(D48&lt;&gt;"Saída","",IF(E48&gt;SUMIF($D$6:$D$205,"Entrada",$E$6:$E$205)*IFERROR(VLOOKUP(B48,CONFIG!$A$4:$B$15,2,0),1),"⚠ acima do teto","ok"))</f>
        <v/>
      </c>
      <c r="G48" s="4"/>
      <c r="H48" s="4"/>
    </row>
    <row r="49" customFormat="false" ht="15" hidden="false" customHeight="false" outlineLevel="0" collapsed="false">
      <c r="A49" s="37"/>
      <c r="B49" s="38"/>
      <c r="C49" s="38"/>
      <c r="D49" s="38"/>
      <c r="E49" s="39"/>
      <c r="F49" s="38" t="str">
        <f aca="false">IF(D49&lt;&gt;"Saída","",IF(E49&gt;SUMIF($D$6:$D$205,"Entrada",$E$6:$E$205)*IFERROR(VLOOKUP(B49,CONFIG!$A$4:$B$15,2,0),1),"⚠ acima do teto","ok"))</f>
        <v/>
      </c>
      <c r="G49" s="4"/>
      <c r="H49" s="4"/>
    </row>
    <row r="50" customFormat="false" ht="15" hidden="false" customHeight="false" outlineLevel="0" collapsed="false">
      <c r="A50" s="37"/>
      <c r="B50" s="38"/>
      <c r="C50" s="38"/>
      <c r="D50" s="38"/>
      <c r="E50" s="39"/>
      <c r="F50" s="38" t="str">
        <f aca="false">IF(D50&lt;&gt;"Saída","",IF(E50&gt;SUMIF($D$6:$D$205,"Entrada",$E$6:$E$205)*IFERROR(VLOOKUP(B50,CONFIG!$A$4:$B$15,2,0),1),"⚠ acima do teto","ok"))</f>
        <v/>
      </c>
      <c r="G50" s="4"/>
      <c r="H50" s="4"/>
    </row>
    <row r="51" customFormat="false" ht="15" hidden="false" customHeight="false" outlineLevel="0" collapsed="false">
      <c r="A51" s="37"/>
      <c r="B51" s="38"/>
      <c r="C51" s="38"/>
      <c r="D51" s="38"/>
      <c r="E51" s="39"/>
      <c r="F51" s="38" t="str">
        <f aca="false">IF(D51&lt;&gt;"Saída","",IF(E51&gt;SUMIF($D$6:$D$205,"Entrada",$E$6:$E$205)*IFERROR(VLOOKUP(B51,CONFIG!$A$4:$B$15,2,0),1),"⚠ acima do teto","ok"))</f>
        <v/>
      </c>
      <c r="G51" s="4"/>
      <c r="H51" s="4"/>
    </row>
    <row r="52" customFormat="false" ht="15" hidden="false" customHeight="false" outlineLevel="0" collapsed="false">
      <c r="A52" s="37"/>
      <c r="B52" s="38"/>
      <c r="C52" s="38"/>
      <c r="D52" s="38"/>
      <c r="E52" s="39"/>
      <c r="F52" s="38" t="str">
        <f aca="false">IF(D52&lt;&gt;"Saída","",IF(E52&gt;SUMIF($D$6:$D$205,"Entrada",$E$6:$E$205)*IFERROR(VLOOKUP(B52,CONFIG!$A$4:$B$15,2,0),1),"⚠ acima do teto","ok"))</f>
        <v/>
      </c>
      <c r="G52" s="4"/>
      <c r="H52" s="4"/>
    </row>
    <row r="53" customFormat="false" ht="15" hidden="false" customHeight="false" outlineLevel="0" collapsed="false">
      <c r="A53" s="37"/>
      <c r="B53" s="38"/>
      <c r="C53" s="38"/>
      <c r="D53" s="38"/>
      <c r="E53" s="39"/>
      <c r="F53" s="38" t="str">
        <f aca="false">IF(D53&lt;&gt;"Saída","",IF(E53&gt;SUMIF($D$6:$D$205,"Entrada",$E$6:$E$205)*IFERROR(VLOOKUP(B53,CONFIG!$A$4:$B$15,2,0),1),"⚠ acima do teto","ok"))</f>
        <v/>
      </c>
      <c r="G53" s="4"/>
      <c r="H53" s="4"/>
    </row>
    <row r="54" customFormat="false" ht="15" hidden="false" customHeight="false" outlineLevel="0" collapsed="false">
      <c r="A54" s="37"/>
      <c r="B54" s="38"/>
      <c r="C54" s="38"/>
      <c r="D54" s="38"/>
      <c r="E54" s="39"/>
      <c r="F54" s="38" t="str">
        <f aca="false">IF(D54&lt;&gt;"Saída","",IF(E54&gt;SUMIF($D$6:$D$205,"Entrada",$E$6:$E$205)*IFERROR(VLOOKUP(B54,CONFIG!$A$4:$B$15,2,0),1),"⚠ acima do teto","ok"))</f>
        <v/>
      </c>
      <c r="G54" s="4"/>
      <c r="H54" s="4"/>
    </row>
    <row r="55" customFormat="false" ht="15" hidden="false" customHeight="false" outlineLevel="0" collapsed="false">
      <c r="A55" s="37"/>
      <c r="B55" s="38"/>
      <c r="C55" s="38"/>
      <c r="D55" s="38"/>
      <c r="E55" s="39"/>
      <c r="F55" s="38" t="str">
        <f aca="false">IF(D55&lt;&gt;"Saída","",IF(E55&gt;SUMIF($D$6:$D$205,"Entrada",$E$6:$E$205)*IFERROR(VLOOKUP(B55,CONFIG!$A$4:$B$15,2,0),1),"⚠ acima do teto","ok"))</f>
        <v/>
      </c>
      <c r="G55" s="4"/>
      <c r="H55" s="4"/>
    </row>
    <row r="56" customFormat="false" ht="15" hidden="false" customHeight="false" outlineLevel="0" collapsed="false">
      <c r="A56" s="37"/>
      <c r="B56" s="38"/>
      <c r="C56" s="38"/>
      <c r="D56" s="38"/>
      <c r="E56" s="39"/>
      <c r="F56" s="38" t="str">
        <f aca="false">IF(D56&lt;&gt;"Saída","",IF(E56&gt;SUMIF($D$6:$D$205,"Entrada",$E$6:$E$205)*IFERROR(VLOOKUP(B56,CONFIG!$A$4:$B$15,2,0),1),"⚠ acima do teto","ok"))</f>
        <v/>
      </c>
      <c r="G56" s="4"/>
      <c r="H56" s="4"/>
    </row>
    <row r="57" customFormat="false" ht="15" hidden="false" customHeight="false" outlineLevel="0" collapsed="false">
      <c r="A57" s="37"/>
      <c r="B57" s="38"/>
      <c r="C57" s="38"/>
      <c r="D57" s="38"/>
      <c r="E57" s="39"/>
      <c r="F57" s="38" t="str">
        <f aca="false">IF(D57&lt;&gt;"Saída","",IF(E57&gt;SUMIF($D$6:$D$205,"Entrada",$E$6:$E$205)*IFERROR(VLOOKUP(B57,CONFIG!$A$4:$B$15,2,0),1),"⚠ acima do teto","ok"))</f>
        <v/>
      </c>
      <c r="G57" s="4"/>
      <c r="H57" s="4"/>
    </row>
    <row r="58" customFormat="false" ht="15" hidden="false" customHeight="false" outlineLevel="0" collapsed="false">
      <c r="A58" s="37"/>
      <c r="B58" s="38"/>
      <c r="C58" s="38"/>
      <c r="D58" s="38"/>
      <c r="E58" s="39"/>
      <c r="F58" s="38" t="str">
        <f aca="false">IF(D58&lt;&gt;"Saída","",IF(E58&gt;SUMIF($D$6:$D$205,"Entrada",$E$6:$E$205)*IFERROR(VLOOKUP(B58,CONFIG!$A$4:$B$15,2,0),1),"⚠ acima do teto","ok"))</f>
        <v/>
      </c>
      <c r="G58" s="4"/>
      <c r="H58" s="4"/>
    </row>
    <row r="59" customFormat="false" ht="15" hidden="false" customHeight="false" outlineLevel="0" collapsed="false">
      <c r="A59" s="37"/>
      <c r="B59" s="38"/>
      <c r="C59" s="38"/>
      <c r="D59" s="38"/>
      <c r="E59" s="39"/>
      <c r="F59" s="38" t="str">
        <f aca="false">IF(D59&lt;&gt;"Saída","",IF(E59&gt;SUMIF($D$6:$D$205,"Entrada",$E$6:$E$205)*IFERROR(VLOOKUP(B59,CONFIG!$A$4:$B$15,2,0),1),"⚠ acima do teto","ok"))</f>
        <v/>
      </c>
      <c r="G59" s="4"/>
      <c r="H59" s="4"/>
    </row>
    <row r="60" customFormat="false" ht="15" hidden="false" customHeight="false" outlineLevel="0" collapsed="false">
      <c r="A60" s="37"/>
      <c r="B60" s="38"/>
      <c r="C60" s="38"/>
      <c r="D60" s="38"/>
      <c r="E60" s="39"/>
      <c r="F60" s="38" t="str">
        <f aca="false">IF(D60&lt;&gt;"Saída","",IF(E60&gt;SUMIF($D$6:$D$205,"Entrada",$E$6:$E$205)*IFERROR(VLOOKUP(B60,CONFIG!$A$4:$B$15,2,0),1),"⚠ acima do teto","ok"))</f>
        <v/>
      </c>
      <c r="G60" s="4"/>
      <c r="H60" s="4"/>
    </row>
    <row r="61" customFormat="false" ht="15" hidden="false" customHeight="false" outlineLevel="0" collapsed="false">
      <c r="A61" s="37"/>
      <c r="B61" s="38"/>
      <c r="C61" s="38"/>
      <c r="D61" s="38"/>
      <c r="E61" s="39"/>
      <c r="F61" s="38" t="str">
        <f aca="false">IF(D61&lt;&gt;"Saída","",IF(E61&gt;SUMIF($D$6:$D$205,"Entrada",$E$6:$E$205)*IFERROR(VLOOKUP(B61,CONFIG!$A$4:$B$15,2,0),1),"⚠ acima do teto","ok"))</f>
        <v/>
      </c>
      <c r="G61" s="4"/>
      <c r="H61" s="4"/>
    </row>
    <row r="62" customFormat="false" ht="15" hidden="false" customHeight="false" outlineLevel="0" collapsed="false">
      <c r="A62" s="37"/>
      <c r="B62" s="38"/>
      <c r="C62" s="38"/>
      <c r="D62" s="38"/>
      <c r="E62" s="39"/>
      <c r="F62" s="38" t="str">
        <f aca="false">IF(D62&lt;&gt;"Saída","",IF(E62&gt;SUMIF($D$6:$D$205,"Entrada",$E$6:$E$205)*IFERROR(VLOOKUP(B62,CONFIG!$A$4:$B$15,2,0),1),"⚠ acima do teto","ok"))</f>
        <v/>
      </c>
      <c r="G62" s="4"/>
      <c r="H62" s="4"/>
    </row>
    <row r="63" customFormat="false" ht="15" hidden="false" customHeight="false" outlineLevel="0" collapsed="false">
      <c r="A63" s="37"/>
      <c r="B63" s="38"/>
      <c r="C63" s="38"/>
      <c r="D63" s="38"/>
      <c r="E63" s="39"/>
      <c r="F63" s="38" t="str">
        <f aca="false">IF(D63&lt;&gt;"Saída","",IF(E63&gt;SUMIF($D$6:$D$205,"Entrada",$E$6:$E$205)*IFERROR(VLOOKUP(B63,CONFIG!$A$4:$B$15,2,0),1),"⚠ acima do teto","ok"))</f>
        <v/>
      </c>
      <c r="G63" s="4"/>
      <c r="H63" s="4"/>
    </row>
    <row r="64" customFormat="false" ht="15" hidden="false" customHeight="false" outlineLevel="0" collapsed="false">
      <c r="A64" s="37"/>
      <c r="B64" s="38"/>
      <c r="C64" s="38"/>
      <c r="D64" s="38"/>
      <c r="E64" s="39"/>
      <c r="F64" s="38" t="str">
        <f aca="false">IF(D64&lt;&gt;"Saída","",IF(E64&gt;SUMIF($D$6:$D$205,"Entrada",$E$6:$E$205)*IFERROR(VLOOKUP(B64,CONFIG!$A$4:$B$15,2,0),1),"⚠ acima do teto","ok"))</f>
        <v/>
      </c>
      <c r="G64" s="4"/>
      <c r="H64" s="4"/>
    </row>
    <row r="65" customFormat="false" ht="15" hidden="false" customHeight="false" outlineLevel="0" collapsed="false">
      <c r="A65" s="37"/>
      <c r="B65" s="38"/>
      <c r="C65" s="38"/>
      <c r="D65" s="38"/>
      <c r="E65" s="39"/>
      <c r="F65" s="38" t="str">
        <f aca="false">IF(D65&lt;&gt;"Saída","",IF(E65&gt;SUMIF($D$6:$D$205,"Entrada",$E$6:$E$205)*IFERROR(VLOOKUP(B65,CONFIG!$A$4:$B$15,2,0),1),"⚠ acima do teto","ok"))</f>
        <v/>
      </c>
      <c r="G65" s="4"/>
      <c r="H65" s="4"/>
    </row>
    <row r="66" customFormat="false" ht="15" hidden="false" customHeight="false" outlineLevel="0" collapsed="false">
      <c r="A66" s="37"/>
      <c r="B66" s="38"/>
      <c r="C66" s="38"/>
      <c r="D66" s="38"/>
      <c r="E66" s="39"/>
      <c r="F66" s="38" t="str">
        <f aca="false">IF(D66&lt;&gt;"Saída","",IF(E66&gt;SUMIF($D$6:$D$205,"Entrada",$E$6:$E$205)*IFERROR(VLOOKUP(B66,CONFIG!$A$4:$B$15,2,0),1),"⚠ acima do teto","ok"))</f>
        <v/>
      </c>
      <c r="G66" s="4"/>
      <c r="H66" s="4"/>
    </row>
    <row r="67" customFormat="false" ht="15" hidden="false" customHeight="false" outlineLevel="0" collapsed="false">
      <c r="A67" s="37"/>
      <c r="B67" s="38"/>
      <c r="C67" s="38"/>
      <c r="D67" s="38"/>
      <c r="E67" s="39"/>
      <c r="F67" s="38" t="str">
        <f aca="false">IF(D67&lt;&gt;"Saída","",IF(E67&gt;SUMIF($D$6:$D$205,"Entrada",$E$6:$E$205)*IFERROR(VLOOKUP(B67,CONFIG!$A$4:$B$15,2,0),1),"⚠ acima do teto","ok"))</f>
        <v/>
      </c>
      <c r="G67" s="4"/>
      <c r="H67" s="4"/>
    </row>
    <row r="68" customFormat="false" ht="15" hidden="false" customHeight="false" outlineLevel="0" collapsed="false">
      <c r="A68" s="37"/>
      <c r="B68" s="38"/>
      <c r="C68" s="38"/>
      <c r="D68" s="38"/>
      <c r="E68" s="39"/>
      <c r="F68" s="38" t="str">
        <f aca="false">IF(D68&lt;&gt;"Saída","",IF(E68&gt;SUMIF($D$6:$D$205,"Entrada",$E$6:$E$205)*IFERROR(VLOOKUP(B68,CONFIG!$A$4:$B$15,2,0),1),"⚠ acima do teto","ok"))</f>
        <v/>
      </c>
      <c r="G68" s="4"/>
      <c r="H68" s="4"/>
    </row>
    <row r="69" customFormat="false" ht="15" hidden="false" customHeight="false" outlineLevel="0" collapsed="false">
      <c r="A69" s="37"/>
      <c r="B69" s="38"/>
      <c r="C69" s="38"/>
      <c r="D69" s="38"/>
      <c r="E69" s="39"/>
      <c r="F69" s="38" t="str">
        <f aca="false">IF(D69&lt;&gt;"Saída","",IF(E69&gt;SUMIF($D$6:$D$205,"Entrada",$E$6:$E$205)*IFERROR(VLOOKUP(B69,CONFIG!$A$4:$B$15,2,0),1),"⚠ acima do teto","ok"))</f>
        <v/>
      </c>
      <c r="G69" s="4"/>
      <c r="H69" s="4"/>
    </row>
    <row r="70" customFormat="false" ht="15" hidden="false" customHeight="false" outlineLevel="0" collapsed="false">
      <c r="A70" s="37"/>
      <c r="B70" s="38"/>
      <c r="C70" s="38"/>
      <c r="D70" s="38"/>
      <c r="E70" s="39"/>
      <c r="F70" s="38" t="str">
        <f aca="false">IF(D70&lt;&gt;"Saída","",IF(E70&gt;SUMIF($D$6:$D$205,"Entrada",$E$6:$E$205)*IFERROR(VLOOKUP(B70,CONFIG!$A$4:$B$15,2,0),1),"⚠ acima do teto","ok"))</f>
        <v/>
      </c>
      <c r="G70" s="4"/>
      <c r="H70" s="4"/>
    </row>
    <row r="71" customFormat="false" ht="15" hidden="false" customHeight="false" outlineLevel="0" collapsed="false">
      <c r="A71" s="37"/>
      <c r="B71" s="38"/>
      <c r="C71" s="38"/>
      <c r="D71" s="38"/>
      <c r="E71" s="39"/>
      <c r="F71" s="38" t="str">
        <f aca="false">IF(D71&lt;&gt;"Saída","",IF(E71&gt;SUMIF($D$6:$D$205,"Entrada",$E$6:$E$205)*IFERROR(VLOOKUP(B71,CONFIG!$A$4:$B$15,2,0),1),"⚠ acima do teto","ok"))</f>
        <v/>
      </c>
      <c r="G71" s="4"/>
      <c r="H71" s="4"/>
    </row>
    <row r="72" customFormat="false" ht="15" hidden="false" customHeight="false" outlineLevel="0" collapsed="false">
      <c r="A72" s="37"/>
      <c r="B72" s="38"/>
      <c r="C72" s="38"/>
      <c r="D72" s="38"/>
      <c r="E72" s="39"/>
      <c r="F72" s="38" t="str">
        <f aca="false">IF(D72&lt;&gt;"Saída","",IF(E72&gt;SUMIF($D$6:$D$205,"Entrada",$E$6:$E$205)*IFERROR(VLOOKUP(B72,CONFIG!$A$4:$B$15,2,0),1),"⚠ acima do teto","ok"))</f>
        <v/>
      </c>
      <c r="G72" s="4"/>
      <c r="H72" s="4"/>
    </row>
    <row r="73" customFormat="false" ht="15" hidden="false" customHeight="false" outlineLevel="0" collapsed="false">
      <c r="A73" s="37"/>
      <c r="B73" s="38"/>
      <c r="C73" s="38"/>
      <c r="D73" s="38"/>
      <c r="E73" s="39"/>
      <c r="F73" s="38" t="str">
        <f aca="false">IF(D73&lt;&gt;"Saída","",IF(E73&gt;SUMIF($D$6:$D$205,"Entrada",$E$6:$E$205)*IFERROR(VLOOKUP(B73,CONFIG!$A$4:$B$15,2,0),1),"⚠ acima do teto","ok"))</f>
        <v/>
      </c>
      <c r="G73" s="4"/>
      <c r="H73" s="4"/>
    </row>
    <row r="74" customFormat="false" ht="15" hidden="false" customHeight="false" outlineLevel="0" collapsed="false">
      <c r="A74" s="37"/>
      <c r="B74" s="38"/>
      <c r="C74" s="38"/>
      <c r="D74" s="38"/>
      <c r="E74" s="39"/>
      <c r="F74" s="38" t="str">
        <f aca="false">IF(D74&lt;&gt;"Saída","",IF(E74&gt;SUMIF($D$6:$D$205,"Entrada",$E$6:$E$205)*IFERROR(VLOOKUP(B74,CONFIG!$A$4:$B$15,2,0),1),"⚠ acima do teto","ok"))</f>
        <v/>
      </c>
      <c r="G74" s="4"/>
      <c r="H74" s="4"/>
    </row>
    <row r="75" customFormat="false" ht="15" hidden="false" customHeight="false" outlineLevel="0" collapsed="false">
      <c r="A75" s="37"/>
      <c r="B75" s="38"/>
      <c r="C75" s="38"/>
      <c r="D75" s="38"/>
      <c r="E75" s="39"/>
      <c r="F75" s="38" t="str">
        <f aca="false">IF(D75&lt;&gt;"Saída","",IF(E75&gt;SUMIF($D$6:$D$205,"Entrada",$E$6:$E$205)*IFERROR(VLOOKUP(B75,CONFIG!$A$4:$B$15,2,0),1),"⚠ acima do teto","ok"))</f>
        <v/>
      </c>
      <c r="G75" s="4"/>
      <c r="H75" s="4"/>
    </row>
    <row r="76" customFormat="false" ht="15" hidden="false" customHeight="false" outlineLevel="0" collapsed="false">
      <c r="A76" s="37"/>
      <c r="B76" s="38"/>
      <c r="C76" s="38"/>
      <c r="D76" s="38"/>
      <c r="E76" s="39"/>
      <c r="F76" s="38" t="str">
        <f aca="false">IF(D76&lt;&gt;"Saída","",IF(E76&gt;SUMIF($D$6:$D$205,"Entrada",$E$6:$E$205)*IFERROR(VLOOKUP(B76,CONFIG!$A$4:$B$15,2,0),1),"⚠ acima do teto","ok"))</f>
        <v/>
      </c>
      <c r="G76" s="4"/>
      <c r="H76" s="4"/>
    </row>
    <row r="77" customFormat="false" ht="15" hidden="false" customHeight="false" outlineLevel="0" collapsed="false">
      <c r="A77" s="37"/>
      <c r="B77" s="38"/>
      <c r="C77" s="38"/>
      <c r="D77" s="38"/>
      <c r="E77" s="39"/>
      <c r="F77" s="38" t="str">
        <f aca="false">IF(D77&lt;&gt;"Saída","",IF(E77&gt;SUMIF($D$6:$D$205,"Entrada",$E$6:$E$205)*IFERROR(VLOOKUP(B77,CONFIG!$A$4:$B$15,2,0),1),"⚠ acima do teto","ok"))</f>
        <v/>
      </c>
      <c r="G77" s="4"/>
      <c r="H77" s="4"/>
    </row>
    <row r="78" customFormat="false" ht="15" hidden="false" customHeight="false" outlineLevel="0" collapsed="false">
      <c r="A78" s="37"/>
      <c r="B78" s="38"/>
      <c r="C78" s="38"/>
      <c r="D78" s="38"/>
      <c r="E78" s="39"/>
      <c r="F78" s="38" t="str">
        <f aca="false">IF(D78&lt;&gt;"Saída","",IF(E78&gt;SUMIF($D$6:$D$205,"Entrada",$E$6:$E$205)*IFERROR(VLOOKUP(B78,CONFIG!$A$4:$B$15,2,0),1),"⚠ acima do teto","ok"))</f>
        <v/>
      </c>
      <c r="G78" s="4"/>
      <c r="H78" s="4"/>
    </row>
    <row r="79" customFormat="false" ht="15" hidden="false" customHeight="false" outlineLevel="0" collapsed="false">
      <c r="A79" s="37"/>
      <c r="B79" s="38"/>
      <c r="C79" s="38"/>
      <c r="D79" s="38"/>
      <c r="E79" s="39"/>
      <c r="F79" s="38" t="str">
        <f aca="false">IF(D79&lt;&gt;"Saída","",IF(E79&gt;SUMIF($D$6:$D$205,"Entrada",$E$6:$E$205)*IFERROR(VLOOKUP(B79,CONFIG!$A$4:$B$15,2,0),1),"⚠ acima do teto","ok"))</f>
        <v/>
      </c>
      <c r="G79" s="4"/>
      <c r="H79" s="4"/>
    </row>
    <row r="80" customFormat="false" ht="15" hidden="false" customHeight="false" outlineLevel="0" collapsed="false">
      <c r="A80" s="37"/>
      <c r="B80" s="38"/>
      <c r="C80" s="38"/>
      <c r="D80" s="38"/>
      <c r="E80" s="39"/>
      <c r="F80" s="38" t="str">
        <f aca="false">IF(D80&lt;&gt;"Saída","",IF(E80&gt;SUMIF($D$6:$D$205,"Entrada",$E$6:$E$205)*IFERROR(VLOOKUP(B80,CONFIG!$A$4:$B$15,2,0),1),"⚠ acima do teto","ok"))</f>
        <v/>
      </c>
      <c r="G80" s="4"/>
      <c r="H80" s="4"/>
    </row>
    <row r="81" customFormat="false" ht="15" hidden="false" customHeight="false" outlineLevel="0" collapsed="false">
      <c r="A81" s="37"/>
      <c r="B81" s="38"/>
      <c r="C81" s="38"/>
      <c r="D81" s="38"/>
      <c r="E81" s="39"/>
      <c r="F81" s="38" t="str">
        <f aca="false">IF(D81&lt;&gt;"Saída","",IF(E81&gt;SUMIF($D$6:$D$205,"Entrada",$E$6:$E$205)*IFERROR(VLOOKUP(B81,CONFIG!$A$4:$B$15,2,0),1),"⚠ acima do teto","ok"))</f>
        <v/>
      </c>
      <c r="G81" s="4"/>
      <c r="H81" s="4"/>
    </row>
    <row r="82" customFormat="false" ht="15" hidden="false" customHeight="false" outlineLevel="0" collapsed="false">
      <c r="A82" s="37"/>
      <c r="B82" s="38"/>
      <c r="C82" s="38"/>
      <c r="D82" s="38"/>
      <c r="E82" s="39"/>
      <c r="F82" s="38" t="str">
        <f aca="false">IF(D82&lt;&gt;"Saída","",IF(E82&gt;SUMIF($D$6:$D$205,"Entrada",$E$6:$E$205)*IFERROR(VLOOKUP(B82,CONFIG!$A$4:$B$15,2,0),1),"⚠ acima do teto","ok"))</f>
        <v/>
      </c>
      <c r="G82" s="4"/>
      <c r="H82" s="4"/>
    </row>
    <row r="83" customFormat="false" ht="15" hidden="false" customHeight="false" outlineLevel="0" collapsed="false">
      <c r="A83" s="37"/>
      <c r="B83" s="38"/>
      <c r="C83" s="38"/>
      <c r="D83" s="38"/>
      <c r="E83" s="39"/>
      <c r="F83" s="38" t="str">
        <f aca="false">IF(D83&lt;&gt;"Saída","",IF(E83&gt;SUMIF($D$6:$D$205,"Entrada",$E$6:$E$205)*IFERROR(VLOOKUP(B83,CONFIG!$A$4:$B$15,2,0),1),"⚠ acima do teto","ok"))</f>
        <v/>
      </c>
      <c r="G83" s="4"/>
      <c r="H83" s="4"/>
    </row>
    <row r="84" customFormat="false" ht="15" hidden="false" customHeight="false" outlineLevel="0" collapsed="false">
      <c r="A84" s="37"/>
      <c r="B84" s="38"/>
      <c r="C84" s="38"/>
      <c r="D84" s="38"/>
      <c r="E84" s="39"/>
      <c r="F84" s="38" t="str">
        <f aca="false">IF(D84&lt;&gt;"Saída","",IF(E84&gt;SUMIF($D$6:$D$205,"Entrada",$E$6:$E$205)*IFERROR(VLOOKUP(B84,CONFIG!$A$4:$B$15,2,0),1),"⚠ acima do teto","ok"))</f>
        <v/>
      </c>
      <c r="G84" s="4"/>
      <c r="H84" s="4"/>
    </row>
    <row r="85" customFormat="false" ht="15" hidden="false" customHeight="false" outlineLevel="0" collapsed="false">
      <c r="A85" s="37"/>
      <c r="B85" s="38"/>
      <c r="C85" s="38"/>
      <c r="D85" s="38"/>
      <c r="E85" s="39"/>
      <c r="F85" s="38" t="str">
        <f aca="false">IF(D85&lt;&gt;"Saída","",IF(E85&gt;SUMIF($D$6:$D$205,"Entrada",$E$6:$E$205)*IFERROR(VLOOKUP(B85,CONFIG!$A$4:$B$15,2,0),1),"⚠ acima do teto","ok"))</f>
        <v/>
      </c>
      <c r="G85" s="4"/>
      <c r="H85" s="4"/>
    </row>
    <row r="86" customFormat="false" ht="15" hidden="false" customHeight="false" outlineLevel="0" collapsed="false">
      <c r="A86" s="37"/>
      <c r="B86" s="38"/>
      <c r="C86" s="38"/>
      <c r="D86" s="38"/>
      <c r="E86" s="39"/>
      <c r="F86" s="38" t="str">
        <f aca="false">IF(D86&lt;&gt;"Saída","",IF(E86&gt;SUMIF($D$6:$D$205,"Entrada",$E$6:$E$205)*IFERROR(VLOOKUP(B86,CONFIG!$A$4:$B$15,2,0),1),"⚠ acima do teto","ok"))</f>
        <v/>
      </c>
      <c r="G86" s="4"/>
      <c r="H86" s="4"/>
    </row>
    <row r="87" customFormat="false" ht="15" hidden="false" customHeight="false" outlineLevel="0" collapsed="false">
      <c r="A87" s="37"/>
      <c r="B87" s="38"/>
      <c r="C87" s="38"/>
      <c r="D87" s="38"/>
      <c r="E87" s="39"/>
      <c r="F87" s="38" t="str">
        <f aca="false">IF(D87&lt;&gt;"Saída","",IF(E87&gt;SUMIF($D$6:$D$205,"Entrada",$E$6:$E$205)*IFERROR(VLOOKUP(B87,CONFIG!$A$4:$B$15,2,0),1),"⚠ acima do teto","ok"))</f>
        <v/>
      </c>
      <c r="G87" s="4"/>
      <c r="H87" s="4"/>
    </row>
    <row r="88" customFormat="false" ht="15" hidden="false" customHeight="false" outlineLevel="0" collapsed="false">
      <c r="A88" s="37"/>
      <c r="B88" s="38"/>
      <c r="C88" s="38"/>
      <c r="D88" s="38"/>
      <c r="E88" s="39"/>
      <c r="F88" s="38" t="str">
        <f aca="false">IF(D88&lt;&gt;"Saída","",IF(E88&gt;SUMIF($D$6:$D$205,"Entrada",$E$6:$E$205)*IFERROR(VLOOKUP(B88,CONFIG!$A$4:$B$15,2,0),1),"⚠ acima do teto","ok"))</f>
        <v/>
      </c>
      <c r="G88" s="4"/>
      <c r="H88" s="4"/>
    </row>
    <row r="89" customFormat="false" ht="15" hidden="false" customHeight="false" outlineLevel="0" collapsed="false">
      <c r="A89" s="37"/>
      <c r="B89" s="38"/>
      <c r="C89" s="38"/>
      <c r="D89" s="38"/>
      <c r="E89" s="39"/>
      <c r="F89" s="38" t="str">
        <f aca="false">IF(D89&lt;&gt;"Saída","",IF(E89&gt;SUMIF($D$6:$D$205,"Entrada",$E$6:$E$205)*IFERROR(VLOOKUP(B89,CONFIG!$A$4:$B$15,2,0),1),"⚠ acima do teto","ok"))</f>
        <v/>
      </c>
      <c r="G89" s="4"/>
      <c r="H89" s="4"/>
    </row>
    <row r="90" customFormat="false" ht="15" hidden="false" customHeight="false" outlineLevel="0" collapsed="false">
      <c r="A90" s="37"/>
      <c r="B90" s="38"/>
      <c r="C90" s="38"/>
      <c r="D90" s="38"/>
      <c r="E90" s="39"/>
      <c r="F90" s="38" t="str">
        <f aca="false">IF(D90&lt;&gt;"Saída","",IF(E90&gt;SUMIF($D$6:$D$205,"Entrada",$E$6:$E$205)*IFERROR(VLOOKUP(B90,CONFIG!$A$4:$B$15,2,0),1),"⚠ acima do teto","ok"))</f>
        <v/>
      </c>
      <c r="G90" s="4"/>
      <c r="H90" s="4"/>
    </row>
    <row r="91" customFormat="false" ht="15" hidden="false" customHeight="false" outlineLevel="0" collapsed="false">
      <c r="A91" s="37"/>
      <c r="B91" s="38"/>
      <c r="C91" s="38"/>
      <c r="D91" s="38"/>
      <c r="E91" s="39"/>
      <c r="F91" s="38" t="str">
        <f aca="false">IF(D91&lt;&gt;"Saída","",IF(E91&gt;SUMIF($D$6:$D$205,"Entrada",$E$6:$E$205)*IFERROR(VLOOKUP(B91,CONFIG!$A$4:$B$15,2,0),1),"⚠ acima do teto","ok"))</f>
        <v/>
      </c>
      <c r="G91" s="4"/>
      <c r="H91" s="4"/>
    </row>
    <row r="92" customFormat="false" ht="15" hidden="false" customHeight="false" outlineLevel="0" collapsed="false">
      <c r="A92" s="37"/>
      <c r="B92" s="38"/>
      <c r="C92" s="38"/>
      <c r="D92" s="38"/>
      <c r="E92" s="39"/>
      <c r="F92" s="38" t="str">
        <f aca="false">IF(D92&lt;&gt;"Saída","",IF(E92&gt;SUMIF($D$6:$D$205,"Entrada",$E$6:$E$205)*IFERROR(VLOOKUP(B92,CONFIG!$A$4:$B$15,2,0),1),"⚠ acima do teto","ok"))</f>
        <v/>
      </c>
      <c r="G92" s="4"/>
      <c r="H92" s="4"/>
    </row>
    <row r="93" customFormat="false" ht="15" hidden="false" customHeight="false" outlineLevel="0" collapsed="false">
      <c r="A93" s="37"/>
      <c r="B93" s="38"/>
      <c r="C93" s="38"/>
      <c r="D93" s="38"/>
      <c r="E93" s="39"/>
      <c r="F93" s="38" t="str">
        <f aca="false">IF(D93&lt;&gt;"Saída","",IF(E93&gt;SUMIF($D$6:$D$205,"Entrada",$E$6:$E$205)*IFERROR(VLOOKUP(B93,CONFIG!$A$4:$B$15,2,0),1),"⚠ acima do teto","ok"))</f>
        <v/>
      </c>
      <c r="G93" s="4"/>
      <c r="H93" s="4"/>
    </row>
    <row r="94" customFormat="false" ht="15" hidden="false" customHeight="false" outlineLevel="0" collapsed="false">
      <c r="A94" s="37"/>
      <c r="B94" s="38"/>
      <c r="C94" s="38"/>
      <c r="D94" s="38"/>
      <c r="E94" s="39"/>
      <c r="F94" s="38" t="str">
        <f aca="false">IF(D94&lt;&gt;"Saída","",IF(E94&gt;SUMIF($D$6:$D$205,"Entrada",$E$6:$E$205)*IFERROR(VLOOKUP(B94,CONFIG!$A$4:$B$15,2,0),1),"⚠ acima do teto","ok"))</f>
        <v/>
      </c>
      <c r="G94" s="4"/>
      <c r="H94" s="4"/>
    </row>
    <row r="95" customFormat="false" ht="15" hidden="false" customHeight="false" outlineLevel="0" collapsed="false">
      <c r="A95" s="37"/>
      <c r="B95" s="38"/>
      <c r="C95" s="38"/>
      <c r="D95" s="38"/>
      <c r="E95" s="39"/>
      <c r="F95" s="38" t="str">
        <f aca="false">IF(D95&lt;&gt;"Saída","",IF(E95&gt;SUMIF($D$6:$D$205,"Entrada",$E$6:$E$205)*IFERROR(VLOOKUP(B95,CONFIG!$A$4:$B$15,2,0),1),"⚠ acima do teto","ok"))</f>
        <v/>
      </c>
      <c r="G95" s="4"/>
      <c r="H95" s="4"/>
    </row>
    <row r="96" customFormat="false" ht="15" hidden="false" customHeight="false" outlineLevel="0" collapsed="false">
      <c r="A96" s="37"/>
      <c r="B96" s="38"/>
      <c r="C96" s="38"/>
      <c r="D96" s="38"/>
      <c r="E96" s="39"/>
      <c r="F96" s="38" t="str">
        <f aca="false">IF(D96&lt;&gt;"Saída","",IF(E96&gt;SUMIF($D$6:$D$205,"Entrada",$E$6:$E$205)*IFERROR(VLOOKUP(B96,CONFIG!$A$4:$B$15,2,0),1),"⚠ acima do teto","ok"))</f>
        <v/>
      </c>
      <c r="G96" s="4"/>
      <c r="H96" s="4"/>
    </row>
    <row r="97" customFormat="false" ht="15" hidden="false" customHeight="false" outlineLevel="0" collapsed="false">
      <c r="A97" s="37"/>
      <c r="B97" s="38"/>
      <c r="C97" s="38"/>
      <c r="D97" s="38"/>
      <c r="E97" s="39"/>
      <c r="F97" s="38" t="str">
        <f aca="false">IF(D97&lt;&gt;"Saída","",IF(E97&gt;SUMIF($D$6:$D$205,"Entrada",$E$6:$E$205)*IFERROR(VLOOKUP(B97,CONFIG!$A$4:$B$15,2,0),1),"⚠ acima do teto","ok"))</f>
        <v/>
      </c>
      <c r="G97" s="4"/>
      <c r="H97" s="4"/>
    </row>
    <row r="98" customFormat="false" ht="15" hidden="false" customHeight="false" outlineLevel="0" collapsed="false">
      <c r="A98" s="37"/>
      <c r="B98" s="38"/>
      <c r="C98" s="38"/>
      <c r="D98" s="38"/>
      <c r="E98" s="39"/>
      <c r="F98" s="38" t="str">
        <f aca="false">IF(D98&lt;&gt;"Saída","",IF(E98&gt;SUMIF($D$6:$D$205,"Entrada",$E$6:$E$205)*IFERROR(VLOOKUP(B98,CONFIG!$A$4:$B$15,2,0),1),"⚠ acima do teto","ok"))</f>
        <v/>
      </c>
      <c r="G98" s="4"/>
      <c r="H98" s="4"/>
    </row>
    <row r="99" customFormat="false" ht="15" hidden="false" customHeight="false" outlineLevel="0" collapsed="false">
      <c r="A99" s="37"/>
      <c r="B99" s="38"/>
      <c r="C99" s="38"/>
      <c r="D99" s="38"/>
      <c r="E99" s="39"/>
      <c r="F99" s="38" t="str">
        <f aca="false">IF(D99&lt;&gt;"Saída","",IF(E99&gt;SUMIF($D$6:$D$205,"Entrada",$E$6:$E$205)*IFERROR(VLOOKUP(B99,CONFIG!$A$4:$B$15,2,0),1),"⚠ acima do teto","ok"))</f>
        <v/>
      </c>
      <c r="G99" s="4"/>
      <c r="H99" s="4"/>
    </row>
    <row r="100" customFormat="false" ht="15" hidden="false" customHeight="false" outlineLevel="0" collapsed="false">
      <c r="A100" s="37"/>
      <c r="B100" s="38"/>
      <c r="C100" s="38"/>
      <c r="D100" s="38"/>
      <c r="E100" s="39"/>
      <c r="F100" s="38" t="str">
        <f aca="false">IF(D100&lt;&gt;"Saída","",IF(E100&gt;SUMIF($D$6:$D$205,"Entrada",$E$6:$E$205)*IFERROR(VLOOKUP(B100,CONFIG!$A$4:$B$15,2,0),1),"⚠ acima do teto","ok"))</f>
        <v/>
      </c>
      <c r="G100" s="4"/>
      <c r="H100" s="4"/>
    </row>
    <row r="101" customFormat="false" ht="15" hidden="false" customHeight="false" outlineLevel="0" collapsed="false">
      <c r="A101" s="37"/>
      <c r="B101" s="38"/>
      <c r="C101" s="38"/>
      <c r="D101" s="38"/>
      <c r="E101" s="39"/>
      <c r="F101" s="38" t="str">
        <f aca="false">IF(D101&lt;&gt;"Saída","",IF(E101&gt;SUMIF($D$6:$D$205,"Entrada",$E$6:$E$205)*IFERROR(VLOOKUP(B101,CONFIG!$A$4:$B$15,2,0),1),"⚠ acima do teto","ok"))</f>
        <v/>
      </c>
      <c r="G101" s="4"/>
      <c r="H101" s="4"/>
    </row>
    <row r="102" customFormat="false" ht="15" hidden="false" customHeight="false" outlineLevel="0" collapsed="false">
      <c r="A102" s="37"/>
      <c r="B102" s="38"/>
      <c r="C102" s="38"/>
      <c r="D102" s="38"/>
      <c r="E102" s="39"/>
      <c r="F102" s="38" t="str">
        <f aca="false">IF(D102&lt;&gt;"Saída","",IF(E102&gt;SUMIF($D$6:$D$205,"Entrada",$E$6:$E$205)*IFERROR(VLOOKUP(B102,CONFIG!$A$4:$B$15,2,0),1),"⚠ acima do teto","ok"))</f>
        <v/>
      </c>
      <c r="G102" s="4"/>
      <c r="H102" s="4"/>
    </row>
    <row r="103" customFormat="false" ht="15" hidden="false" customHeight="false" outlineLevel="0" collapsed="false">
      <c r="A103" s="37"/>
      <c r="B103" s="38"/>
      <c r="C103" s="38"/>
      <c r="D103" s="38"/>
      <c r="E103" s="39"/>
      <c r="F103" s="38" t="str">
        <f aca="false">IF(D103&lt;&gt;"Saída","",IF(E103&gt;SUMIF($D$6:$D$205,"Entrada",$E$6:$E$205)*IFERROR(VLOOKUP(B103,CONFIG!$A$4:$B$15,2,0),1),"⚠ acima do teto","ok"))</f>
        <v/>
      </c>
      <c r="G103" s="4"/>
      <c r="H103" s="4"/>
    </row>
    <row r="104" customFormat="false" ht="15" hidden="false" customHeight="false" outlineLevel="0" collapsed="false">
      <c r="A104" s="37"/>
      <c r="B104" s="38"/>
      <c r="C104" s="38"/>
      <c r="D104" s="38"/>
      <c r="E104" s="39"/>
      <c r="F104" s="38" t="str">
        <f aca="false">IF(D104&lt;&gt;"Saída","",IF(E104&gt;SUMIF($D$6:$D$205,"Entrada",$E$6:$E$205)*IFERROR(VLOOKUP(B104,CONFIG!$A$4:$B$15,2,0),1),"⚠ acima do teto","ok"))</f>
        <v/>
      </c>
      <c r="G104" s="4"/>
      <c r="H104" s="4"/>
    </row>
    <row r="105" customFormat="false" ht="15" hidden="false" customHeight="false" outlineLevel="0" collapsed="false">
      <c r="A105" s="37"/>
      <c r="B105" s="38"/>
      <c r="C105" s="38"/>
      <c r="D105" s="38"/>
      <c r="E105" s="39"/>
      <c r="F105" s="38" t="str">
        <f aca="false">IF(D105&lt;&gt;"Saída","",IF(E105&gt;SUMIF($D$6:$D$205,"Entrada",$E$6:$E$205)*IFERROR(VLOOKUP(B105,CONFIG!$A$4:$B$15,2,0),1),"⚠ acima do teto","ok"))</f>
        <v/>
      </c>
      <c r="G105" s="4"/>
      <c r="H105" s="4"/>
    </row>
    <row r="106" customFormat="false" ht="15" hidden="false" customHeight="false" outlineLevel="0" collapsed="false">
      <c r="A106" s="37"/>
      <c r="B106" s="38"/>
      <c r="C106" s="38"/>
      <c r="D106" s="38"/>
      <c r="E106" s="39"/>
      <c r="F106" s="38" t="str">
        <f aca="false">IF(D106&lt;&gt;"Saída","",IF(E106&gt;SUMIF($D$6:$D$205,"Entrada",$E$6:$E$205)*IFERROR(VLOOKUP(B106,CONFIG!$A$4:$B$15,2,0),1),"⚠ acima do teto","ok"))</f>
        <v/>
      </c>
      <c r="G106" s="4"/>
      <c r="H106" s="4"/>
    </row>
    <row r="107" customFormat="false" ht="15" hidden="false" customHeight="false" outlineLevel="0" collapsed="false">
      <c r="A107" s="37"/>
      <c r="B107" s="38"/>
      <c r="C107" s="38"/>
      <c r="D107" s="38"/>
      <c r="E107" s="39"/>
      <c r="F107" s="38" t="str">
        <f aca="false">IF(D107&lt;&gt;"Saída","",IF(E107&gt;SUMIF($D$6:$D$205,"Entrada",$E$6:$E$205)*IFERROR(VLOOKUP(B107,CONFIG!$A$4:$B$15,2,0),1),"⚠ acima do teto","ok"))</f>
        <v/>
      </c>
      <c r="G107" s="4"/>
      <c r="H107" s="4"/>
    </row>
    <row r="108" customFormat="false" ht="15" hidden="false" customHeight="false" outlineLevel="0" collapsed="false">
      <c r="A108" s="37"/>
      <c r="B108" s="38"/>
      <c r="C108" s="38"/>
      <c r="D108" s="38"/>
      <c r="E108" s="39"/>
      <c r="F108" s="38" t="str">
        <f aca="false">IF(D108&lt;&gt;"Saída","",IF(E108&gt;SUMIF($D$6:$D$205,"Entrada",$E$6:$E$205)*IFERROR(VLOOKUP(B108,CONFIG!$A$4:$B$15,2,0),1),"⚠ acima do teto","ok"))</f>
        <v/>
      </c>
      <c r="G108" s="4"/>
      <c r="H108" s="4"/>
    </row>
    <row r="109" customFormat="false" ht="15" hidden="false" customHeight="false" outlineLevel="0" collapsed="false">
      <c r="A109" s="37"/>
      <c r="B109" s="38"/>
      <c r="C109" s="38"/>
      <c r="D109" s="38"/>
      <c r="E109" s="39"/>
      <c r="F109" s="38" t="str">
        <f aca="false">IF(D109&lt;&gt;"Saída","",IF(E109&gt;SUMIF($D$6:$D$205,"Entrada",$E$6:$E$205)*IFERROR(VLOOKUP(B109,CONFIG!$A$4:$B$15,2,0),1),"⚠ acima do teto","ok"))</f>
        <v/>
      </c>
      <c r="G109" s="4"/>
      <c r="H109" s="4"/>
    </row>
    <row r="110" customFormat="false" ht="15" hidden="false" customHeight="false" outlineLevel="0" collapsed="false">
      <c r="A110" s="37"/>
      <c r="B110" s="38"/>
      <c r="C110" s="38"/>
      <c r="D110" s="38"/>
      <c r="E110" s="39"/>
      <c r="F110" s="38" t="str">
        <f aca="false">IF(D110&lt;&gt;"Saída","",IF(E110&gt;SUMIF($D$6:$D$205,"Entrada",$E$6:$E$205)*IFERROR(VLOOKUP(B110,CONFIG!$A$4:$B$15,2,0),1),"⚠ acima do teto","ok"))</f>
        <v/>
      </c>
      <c r="G110" s="4"/>
      <c r="H110" s="4"/>
    </row>
    <row r="111" customFormat="false" ht="15" hidden="false" customHeight="false" outlineLevel="0" collapsed="false">
      <c r="A111" s="37"/>
      <c r="B111" s="38"/>
      <c r="C111" s="38"/>
      <c r="D111" s="38"/>
      <c r="E111" s="39"/>
      <c r="F111" s="38" t="str">
        <f aca="false">IF(D111&lt;&gt;"Saída","",IF(E111&gt;SUMIF($D$6:$D$205,"Entrada",$E$6:$E$205)*IFERROR(VLOOKUP(B111,CONFIG!$A$4:$B$15,2,0),1),"⚠ acima do teto","ok"))</f>
        <v/>
      </c>
      <c r="G111" s="4"/>
      <c r="H111" s="4"/>
    </row>
    <row r="112" customFormat="false" ht="15" hidden="false" customHeight="false" outlineLevel="0" collapsed="false">
      <c r="A112" s="37"/>
      <c r="B112" s="38"/>
      <c r="C112" s="38"/>
      <c r="D112" s="38"/>
      <c r="E112" s="39"/>
      <c r="F112" s="38" t="str">
        <f aca="false">IF(D112&lt;&gt;"Saída","",IF(E112&gt;SUMIF($D$6:$D$205,"Entrada",$E$6:$E$205)*IFERROR(VLOOKUP(B112,CONFIG!$A$4:$B$15,2,0),1),"⚠ acima do teto","ok"))</f>
        <v/>
      </c>
      <c r="G112" s="4"/>
      <c r="H112" s="4"/>
    </row>
    <row r="113" customFormat="false" ht="15" hidden="false" customHeight="false" outlineLevel="0" collapsed="false">
      <c r="A113" s="37"/>
      <c r="B113" s="38"/>
      <c r="C113" s="38"/>
      <c r="D113" s="38"/>
      <c r="E113" s="39"/>
      <c r="F113" s="38" t="str">
        <f aca="false">IF(D113&lt;&gt;"Saída","",IF(E113&gt;SUMIF($D$6:$D$205,"Entrada",$E$6:$E$205)*IFERROR(VLOOKUP(B113,CONFIG!$A$4:$B$15,2,0),1),"⚠ acima do teto","ok"))</f>
        <v/>
      </c>
      <c r="G113" s="4"/>
      <c r="H113" s="4"/>
    </row>
    <row r="114" customFormat="false" ht="15" hidden="false" customHeight="false" outlineLevel="0" collapsed="false">
      <c r="A114" s="37"/>
      <c r="B114" s="38"/>
      <c r="C114" s="38"/>
      <c r="D114" s="38"/>
      <c r="E114" s="39"/>
      <c r="F114" s="38" t="str">
        <f aca="false">IF(D114&lt;&gt;"Saída","",IF(E114&gt;SUMIF($D$6:$D$205,"Entrada",$E$6:$E$205)*IFERROR(VLOOKUP(B114,CONFIG!$A$4:$B$15,2,0),1),"⚠ acima do teto","ok"))</f>
        <v/>
      </c>
      <c r="G114" s="4"/>
      <c r="H114" s="4"/>
    </row>
    <row r="115" customFormat="false" ht="15" hidden="false" customHeight="false" outlineLevel="0" collapsed="false">
      <c r="A115" s="37"/>
      <c r="B115" s="38"/>
      <c r="C115" s="38"/>
      <c r="D115" s="38"/>
      <c r="E115" s="39"/>
      <c r="F115" s="38" t="str">
        <f aca="false">IF(D115&lt;&gt;"Saída","",IF(E115&gt;SUMIF($D$6:$D$205,"Entrada",$E$6:$E$205)*IFERROR(VLOOKUP(B115,CONFIG!$A$4:$B$15,2,0),1),"⚠ acima do teto","ok"))</f>
        <v/>
      </c>
      <c r="G115" s="4"/>
      <c r="H115" s="4"/>
    </row>
    <row r="116" customFormat="false" ht="15" hidden="false" customHeight="false" outlineLevel="0" collapsed="false">
      <c r="A116" s="37"/>
      <c r="B116" s="38"/>
      <c r="C116" s="38"/>
      <c r="D116" s="38"/>
      <c r="E116" s="39"/>
      <c r="F116" s="38" t="str">
        <f aca="false">IF(D116&lt;&gt;"Saída","",IF(E116&gt;SUMIF($D$6:$D$205,"Entrada",$E$6:$E$205)*IFERROR(VLOOKUP(B116,CONFIG!$A$4:$B$15,2,0),1),"⚠ acima do teto","ok"))</f>
        <v/>
      </c>
      <c r="G116" s="4"/>
      <c r="H116" s="4"/>
    </row>
    <row r="117" customFormat="false" ht="15" hidden="false" customHeight="false" outlineLevel="0" collapsed="false">
      <c r="A117" s="37"/>
      <c r="B117" s="38"/>
      <c r="C117" s="38"/>
      <c r="D117" s="38"/>
      <c r="E117" s="39"/>
      <c r="F117" s="38" t="str">
        <f aca="false">IF(D117&lt;&gt;"Saída","",IF(E117&gt;SUMIF($D$6:$D$205,"Entrada",$E$6:$E$205)*IFERROR(VLOOKUP(B117,CONFIG!$A$4:$B$15,2,0),1),"⚠ acima do teto","ok"))</f>
        <v/>
      </c>
      <c r="G117" s="4"/>
      <c r="H117" s="4"/>
    </row>
    <row r="118" customFormat="false" ht="15" hidden="false" customHeight="false" outlineLevel="0" collapsed="false">
      <c r="A118" s="37"/>
      <c r="B118" s="38"/>
      <c r="C118" s="38"/>
      <c r="D118" s="38"/>
      <c r="E118" s="39"/>
      <c r="F118" s="38" t="str">
        <f aca="false">IF(D118&lt;&gt;"Saída","",IF(E118&gt;SUMIF($D$6:$D$205,"Entrada",$E$6:$E$205)*IFERROR(VLOOKUP(B118,CONFIG!$A$4:$B$15,2,0),1),"⚠ acima do teto","ok"))</f>
        <v/>
      </c>
      <c r="G118" s="4"/>
      <c r="H118" s="4"/>
    </row>
    <row r="119" customFormat="false" ht="15" hidden="false" customHeight="false" outlineLevel="0" collapsed="false">
      <c r="A119" s="37"/>
      <c r="B119" s="38"/>
      <c r="C119" s="38"/>
      <c r="D119" s="38"/>
      <c r="E119" s="39"/>
      <c r="F119" s="38" t="str">
        <f aca="false">IF(D119&lt;&gt;"Saída","",IF(E119&gt;SUMIF($D$6:$D$205,"Entrada",$E$6:$E$205)*IFERROR(VLOOKUP(B119,CONFIG!$A$4:$B$15,2,0),1),"⚠ acima do teto","ok"))</f>
        <v/>
      </c>
      <c r="G119" s="4"/>
      <c r="H119" s="4"/>
    </row>
    <row r="120" customFormat="false" ht="15" hidden="false" customHeight="false" outlineLevel="0" collapsed="false">
      <c r="A120" s="37"/>
      <c r="B120" s="38"/>
      <c r="C120" s="38"/>
      <c r="D120" s="38"/>
      <c r="E120" s="39"/>
      <c r="F120" s="38" t="str">
        <f aca="false">IF(D120&lt;&gt;"Saída","",IF(E120&gt;SUMIF($D$6:$D$205,"Entrada",$E$6:$E$205)*IFERROR(VLOOKUP(B120,CONFIG!$A$4:$B$15,2,0),1),"⚠ acima do teto","ok"))</f>
        <v/>
      </c>
      <c r="G120" s="4"/>
      <c r="H120" s="4"/>
    </row>
    <row r="121" customFormat="false" ht="15" hidden="false" customHeight="false" outlineLevel="0" collapsed="false">
      <c r="A121" s="37"/>
      <c r="B121" s="38"/>
      <c r="C121" s="38"/>
      <c r="D121" s="38"/>
      <c r="E121" s="39"/>
      <c r="F121" s="38" t="str">
        <f aca="false">IF(D121&lt;&gt;"Saída","",IF(E121&gt;SUMIF($D$6:$D$205,"Entrada",$E$6:$E$205)*IFERROR(VLOOKUP(B121,CONFIG!$A$4:$B$15,2,0),1),"⚠ acima do teto","ok"))</f>
        <v/>
      </c>
      <c r="G121" s="4"/>
      <c r="H121" s="4"/>
    </row>
    <row r="122" customFormat="false" ht="15" hidden="false" customHeight="false" outlineLevel="0" collapsed="false">
      <c r="A122" s="37"/>
      <c r="B122" s="38"/>
      <c r="C122" s="38"/>
      <c r="D122" s="38"/>
      <c r="E122" s="39"/>
      <c r="F122" s="38" t="str">
        <f aca="false">IF(D122&lt;&gt;"Saída","",IF(E122&gt;SUMIF($D$6:$D$205,"Entrada",$E$6:$E$205)*IFERROR(VLOOKUP(B122,CONFIG!$A$4:$B$15,2,0),1),"⚠ acima do teto","ok"))</f>
        <v/>
      </c>
      <c r="G122" s="4"/>
      <c r="H122" s="4"/>
    </row>
    <row r="123" customFormat="false" ht="15" hidden="false" customHeight="false" outlineLevel="0" collapsed="false">
      <c r="A123" s="37"/>
      <c r="B123" s="38"/>
      <c r="C123" s="38"/>
      <c r="D123" s="38"/>
      <c r="E123" s="39"/>
      <c r="F123" s="38" t="str">
        <f aca="false">IF(D123&lt;&gt;"Saída","",IF(E123&gt;SUMIF($D$6:$D$205,"Entrada",$E$6:$E$205)*IFERROR(VLOOKUP(B123,CONFIG!$A$4:$B$15,2,0),1),"⚠ acima do teto","ok"))</f>
        <v/>
      </c>
      <c r="G123" s="4"/>
      <c r="H123" s="4"/>
    </row>
    <row r="124" customFormat="false" ht="15" hidden="false" customHeight="false" outlineLevel="0" collapsed="false">
      <c r="A124" s="37"/>
      <c r="B124" s="38"/>
      <c r="C124" s="38"/>
      <c r="D124" s="38"/>
      <c r="E124" s="39"/>
      <c r="F124" s="38" t="str">
        <f aca="false">IF(D124&lt;&gt;"Saída","",IF(E124&gt;SUMIF($D$6:$D$205,"Entrada",$E$6:$E$205)*IFERROR(VLOOKUP(B124,CONFIG!$A$4:$B$15,2,0),1),"⚠ acima do teto","ok"))</f>
        <v/>
      </c>
      <c r="G124" s="4"/>
      <c r="H124" s="4"/>
    </row>
    <row r="125" customFormat="false" ht="15" hidden="false" customHeight="false" outlineLevel="0" collapsed="false">
      <c r="A125" s="37"/>
      <c r="B125" s="38"/>
      <c r="C125" s="38"/>
      <c r="D125" s="38"/>
      <c r="E125" s="39"/>
      <c r="F125" s="38" t="str">
        <f aca="false">IF(D125&lt;&gt;"Saída","",IF(E125&gt;SUMIF($D$6:$D$205,"Entrada",$E$6:$E$205)*IFERROR(VLOOKUP(B125,CONFIG!$A$4:$B$15,2,0),1),"⚠ acima do teto","ok"))</f>
        <v/>
      </c>
      <c r="G125" s="4"/>
      <c r="H125" s="4"/>
    </row>
    <row r="126" customFormat="false" ht="15" hidden="false" customHeight="false" outlineLevel="0" collapsed="false">
      <c r="A126" s="37"/>
      <c r="B126" s="38"/>
      <c r="C126" s="38"/>
      <c r="D126" s="38"/>
      <c r="E126" s="39"/>
      <c r="F126" s="38" t="str">
        <f aca="false">IF(D126&lt;&gt;"Saída","",IF(E126&gt;SUMIF($D$6:$D$205,"Entrada",$E$6:$E$205)*IFERROR(VLOOKUP(B126,CONFIG!$A$4:$B$15,2,0),1),"⚠ acima do teto","ok"))</f>
        <v/>
      </c>
      <c r="G126" s="4"/>
      <c r="H126" s="4"/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4"/>
      <c r="G127" s="4"/>
      <c r="H127" s="4"/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4"/>
      <c r="G128" s="4"/>
      <c r="H128" s="4"/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4"/>
      <c r="G129" s="4"/>
      <c r="H129" s="4"/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4"/>
      <c r="G130" s="4"/>
      <c r="H130" s="4"/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4"/>
      <c r="G131" s="4"/>
      <c r="H131" s="4"/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4"/>
      <c r="G132" s="4"/>
      <c r="H132" s="4"/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4"/>
      <c r="G133" s="4"/>
      <c r="H133" s="4"/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4"/>
      <c r="G134" s="4"/>
      <c r="H134" s="4"/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4"/>
      <c r="G135" s="4"/>
      <c r="H135" s="4"/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4"/>
      <c r="G136" s="4"/>
      <c r="H136" s="4"/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4"/>
      <c r="G137" s="4"/>
      <c r="H137" s="4"/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4"/>
      <c r="G138" s="4"/>
      <c r="H138" s="4"/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4"/>
      <c r="G139" s="4"/>
      <c r="H139" s="4"/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4"/>
      <c r="G140" s="4"/>
      <c r="H140" s="4"/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4"/>
      <c r="G141" s="4"/>
      <c r="H141" s="4"/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4"/>
      <c r="G142" s="4"/>
      <c r="H142" s="4"/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4"/>
      <c r="G143" s="4"/>
      <c r="H143" s="4"/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4"/>
      <c r="G144" s="4"/>
      <c r="H144" s="4"/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4"/>
      <c r="G145" s="4"/>
      <c r="H145" s="4"/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4"/>
      <c r="G146" s="4"/>
      <c r="H146" s="4"/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4"/>
      <c r="G147" s="4"/>
      <c r="H147" s="4"/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4"/>
      <c r="G148" s="4"/>
      <c r="H148" s="4"/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4"/>
      <c r="G149" s="4"/>
      <c r="H149" s="4"/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4"/>
      <c r="G150" s="4"/>
      <c r="H150" s="4"/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4"/>
      <c r="G151" s="4"/>
      <c r="H151" s="4"/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4"/>
      <c r="G152" s="4"/>
      <c r="H152" s="4"/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4"/>
      <c r="G153" s="4"/>
      <c r="H153" s="4"/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4"/>
      <c r="G154" s="4"/>
      <c r="H154" s="4"/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4"/>
      <c r="G155" s="4"/>
      <c r="H155" s="4"/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4"/>
      <c r="G156" s="4"/>
      <c r="H156" s="4"/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</row>
  </sheetData>
  <mergeCells count="3">
    <mergeCell ref="A1:F1"/>
    <mergeCell ref="A2:F2"/>
    <mergeCell ref="A3:F3"/>
  </mergeCells>
  <conditionalFormatting sqref="F6:F126">
    <cfRule type="cellIs" priority="2" operator="equal" aboveAverage="0" equalAverage="0" bottom="0" percent="0" rank="0" text="" dxfId="2">
      <formula>"⚠ acima do teto"</formula>
    </cfRule>
  </conditionalFormatting>
  <conditionalFormatting sqref="E6:E126">
    <cfRule type="dataBar" priority="3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{FB9B3659-AC37-4420-A58B-56BCB085A6FE}</x14:id>
        </ext>
      </extLst>
    </cfRule>
  </conditionalFormatting>
  <dataValidations count="2">
    <dataValidation allowBlank="true" error="Selecione um valor da lista" errorStyle="stop" errorTitle="Valor inválido" operator="between" prompt="Escolha uma opção" promptTitle="Trust Excel" showDropDown="false" showErrorMessage="false" showInputMessage="false" sqref="B6:B126" type="list">
      <formula1>CONFIG!$A$4:$A$15</formula1>
      <formula2>0</formula2>
    </dataValidation>
    <dataValidation allowBlank="true" error="Selecione um valor da lista" errorStyle="stop" errorTitle="Valor inválido" operator="between" prompt="Escolha uma opção" promptTitle="Trust Excel" showDropDown="false" showErrorMessage="false" showInputMessage="false" sqref="D6:D126" type="list">
      <formula1>"Entrada,Saída"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B3659-AC37-4420-A58B-56BCB085A6FE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E6:E126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4"/>
      <c r="G1" s="4"/>
      <c r="H1" s="4"/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4"/>
      <c r="G2" s="4"/>
      <c r="H2" s="4"/>
    </row>
    <row r="3" customFormat="false" ht="18" hidden="false" customHeight="true" outlineLevel="0" collapsed="false">
      <c r="A3" s="3" t="s">
        <v>96</v>
      </c>
      <c r="B3" s="3"/>
      <c r="C3" s="3"/>
      <c r="D3" s="3"/>
      <c r="E3" s="3"/>
      <c r="F3" s="4"/>
      <c r="G3" s="4"/>
      <c r="H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36" t="s">
        <v>97</v>
      </c>
      <c r="B5" s="40" t="n">
        <f aca="false">DASHBOARD!C10</f>
        <v>3470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36" t="s">
        <v>98</v>
      </c>
      <c r="B6" s="41" t="n">
        <v>0.008</v>
      </c>
      <c r="C6" s="4"/>
      <c r="D6" s="4"/>
      <c r="E6" s="4"/>
      <c r="F6" s="4"/>
      <c r="G6" s="4"/>
      <c r="H6" s="4"/>
    </row>
    <row r="7" customFormat="false" ht="15" hidden="false" customHeight="false" outlineLevel="0" collapsed="false">
      <c r="A7" s="36" t="s">
        <v>99</v>
      </c>
      <c r="B7" s="42" t="n">
        <v>5000</v>
      </c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</row>
    <row r="9" customFormat="false" ht="25.5" hidden="false" customHeight="true" outlineLevel="0" collapsed="false">
      <c r="A9" s="15" t="s">
        <v>100</v>
      </c>
      <c r="B9" s="15" t="s">
        <v>101</v>
      </c>
      <c r="C9" s="4"/>
      <c r="D9" s="4"/>
      <c r="E9" s="4"/>
      <c r="F9" s="4"/>
      <c r="G9" s="4"/>
      <c r="H9" s="4"/>
    </row>
    <row r="10" customFormat="false" ht="15" hidden="false" customHeight="false" outlineLevel="0" collapsed="false">
      <c r="A10" s="34" t="n">
        <v>1</v>
      </c>
      <c r="B10" s="43" t="n">
        <f aca="false">$B$7*(1+$B$6)+$B$5</f>
        <v>8510</v>
      </c>
      <c r="C10" s="4"/>
      <c r="D10" s="4"/>
      <c r="E10" s="4"/>
      <c r="F10" s="4"/>
      <c r="G10" s="4"/>
      <c r="H10" s="4"/>
    </row>
    <row r="11" customFormat="false" ht="15" hidden="false" customHeight="false" outlineLevel="0" collapsed="false">
      <c r="A11" s="34" t="n">
        <v>2</v>
      </c>
      <c r="B11" s="43" t="n">
        <f aca="false">B10*(1+$B$6)+$B$5</f>
        <v>12048.08</v>
      </c>
      <c r="C11" s="4"/>
      <c r="D11" s="4"/>
      <c r="E11" s="4"/>
      <c r="F11" s="4"/>
      <c r="G11" s="4"/>
      <c r="H11" s="4"/>
    </row>
    <row r="12" customFormat="false" ht="15" hidden="false" customHeight="false" outlineLevel="0" collapsed="false">
      <c r="A12" s="34" t="n">
        <v>3</v>
      </c>
      <c r="B12" s="43" t="n">
        <f aca="false">B11*(1+$B$6)+$B$5</f>
        <v>15614.46464</v>
      </c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34" t="n">
        <v>4</v>
      </c>
      <c r="B13" s="43" t="n">
        <f aca="false">B12*(1+$B$6)+$B$5</f>
        <v>19209.38035712</v>
      </c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34" t="n">
        <v>5</v>
      </c>
      <c r="B14" s="43" t="n">
        <f aca="false">B13*(1+$B$6)+$B$5</f>
        <v>22833.055399977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A15" s="34" t="n">
        <v>6</v>
      </c>
      <c r="B15" s="43" t="n">
        <f aca="false">B14*(1+$B$6)+$B$5</f>
        <v>26485.7198431768</v>
      </c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34" t="n">
        <v>7</v>
      </c>
      <c r="B16" s="43" t="n">
        <f aca="false">B15*(1+$B$6)+$B$5</f>
        <v>30167.6056019222</v>
      </c>
      <c r="C16" s="4"/>
      <c r="D16" s="4"/>
      <c r="E16" s="4"/>
      <c r="F16" s="4"/>
      <c r="G16" s="4"/>
      <c r="H16" s="4"/>
    </row>
    <row r="17" customFormat="false" ht="15" hidden="false" customHeight="false" outlineLevel="0" collapsed="false">
      <c r="A17" s="34" t="n">
        <v>8</v>
      </c>
      <c r="B17" s="43" t="n">
        <f aca="false">B16*(1+$B$6)+$B$5</f>
        <v>33878.9464467376</v>
      </c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34" t="n">
        <v>9</v>
      </c>
      <c r="B18" s="43" t="n">
        <f aca="false">B17*(1+$B$6)+$B$5</f>
        <v>37619.9780183115</v>
      </c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34" t="n">
        <v>10</v>
      </c>
      <c r="B19" s="43" t="n">
        <f aca="false">B18*(1+$B$6)+$B$5</f>
        <v>41390.937842458</v>
      </c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34" t="n">
        <v>11</v>
      </c>
      <c r="B20" s="43" t="n">
        <f aca="false">B19*(1+$B$6)+$B$5</f>
        <v>45192.0653451976</v>
      </c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34" t="n">
        <v>12</v>
      </c>
      <c r="B21" s="43" t="n">
        <f aca="false">B20*(1+$B$6)+$B$5</f>
        <v>49023.6018679592</v>
      </c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</row>
  </sheetData>
  <mergeCells count="3">
    <mergeCell ref="A1:E1"/>
    <mergeCell ref="A2:E2"/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2026-07-22T19:18:36Z</dcterms:created>
  <dc:creator>openpyxl</dc:creator>
  <dc:description/>
  <dc:language>en-US</dc:language>
  <cp:lastModifiedBy/>
  <dcterms:modified xsi:type="dcterms:W3CDTF">2026-07-22T19:18:36Z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