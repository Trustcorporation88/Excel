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PROJECAO" sheetId="4" state="visible" r:id="rId4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"/>
    <numFmt numFmtId="166" formatCode="&quot;R$&quot; #,##0"/>
    <numFmt numFmtId="167" formatCode="0.0%"/>
    <numFmt numFmtId="168" formatCode="#,##0;(#,##0);&quot;—&quot;"/>
    <numFmt numFmtId="169" formatCode="#,##0.0;(#,##0.0);&quot;—&quot;"/>
  </numFmts>
  <fonts count="26">
    <font>
      <name val="Calibri"/>
      <family val="2"/>
      <color theme="1"/>
      <sz val="11"/>
      <scheme val="minor"/>
    </font>
    <font>
      <name val="Aptos Narrow"/>
      <b val="1"/>
      <color rgb="00C99C66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43D07F"/>
      <sz val="11"/>
    </font>
    <font>
      <name val="Aptos Narrow"/>
      <b val="1"/>
      <color rgb="00F3ECDD"/>
      <sz val="11"/>
    </font>
    <font>
      <name val="Aptos Narrow"/>
      <color rgb="0043D07F"/>
      <sz val="10"/>
    </font>
    <font>
      <name val="Aptos Narrow"/>
      <color rgb="000E1512"/>
      <sz val="8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color rgb="00F3ECDD"/>
      <sz val="9"/>
    </font>
    <font>
      <name val="Aptos Narrow"/>
      <color rgb="008A9691"/>
      <sz val="9"/>
    </font>
    <font>
      <name val="Aptos Narrow"/>
      <color rgb="00C99C66"/>
      <sz val="9"/>
    </font>
    <font>
      <name val="Aptos Narrow"/>
      <color rgb="008A9691"/>
      <sz val="8"/>
    </font>
    <font>
      <name val="Aptos Narrow"/>
      <color rgb="008A9691"/>
      <sz val="7"/>
    </font>
    <font>
      <name val="Aptos Narrow"/>
      <color rgb="0043D07F"/>
      <sz val="11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13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66" fontId="16" fillId="4" borderId="1" applyAlignment="1" pivotButton="0" quotePrefix="0" xfId="0">
      <alignment horizontal="center" vertical="center"/>
    </xf>
    <xf numFmtId="167" fontId="16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1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17" fillId="2" borderId="1" pivotButton="0" quotePrefix="0" xfId="0"/>
    <xf numFmtId="166" fontId="17" fillId="2" borderId="1" pivotButton="0" quotePrefix="0" xfId="0"/>
    <xf numFmtId="167" fontId="18" fillId="2" borderId="1" pivotButton="0" quotePrefix="0" xfId="0"/>
    <xf numFmtId="0" fontId="17" fillId="2" borderId="0" pivotButton="0" quotePrefix="0" xfId="0"/>
    <xf numFmtId="1" fontId="19" fillId="2" borderId="0" pivotButton="0" quotePrefix="0" xfId="0"/>
    <xf numFmtId="0" fontId="1" fillId="0" borderId="0" applyAlignment="1" pivotButton="0" quotePrefix="0" xfId="0">
      <alignment horizontal="left" vertical="center" indent="1"/>
    </xf>
    <xf numFmtId="169" fontId="1" fillId="2" borderId="1" pivotButton="0" quotePrefix="0" xfId="0"/>
    <xf numFmtId="1" fontId="21" fillId="2" borderId="1" pivotButton="0" quotePrefix="0" xfId="0"/>
    <xf numFmtId="0" fontId="22" fillId="2" borderId="1" applyAlignment="1" pivotButton="0" quotePrefix="0" xfId="0">
      <alignment horizontal="center" vertical="center"/>
    </xf>
    <xf numFmtId="0" fontId="17" fillId="0" borderId="1" pivotButton="0" quotePrefix="0" xfId="0"/>
    <xf numFmtId="168" fontId="20" fillId="0" borderId="1" pivotButton="0" quotePrefix="0" xfId="0"/>
    <xf numFmtId="168" fontId="5" fillId="0" borderId="1" pivotButton="0" quotePrefix="0" xfId="0"/>
    <xf numFmtId="4" fontId="11" fillId="0" borderId="0" pivotButton="0" quotePrefix="0" xfId="0"/>
    <xf numFmtId="0" fontId="24" fillId="3" borderId="0" pivotButton="0" quotePrefix="0" xfId="0"/>
    <xf numFmtId="0" fontId="20" fillId="0" borderId="1" pivotButton="0" quotePrefix="0" xfId="0"/>
    <xf numFmtId="169" fontId="23" fillId="0" borderId="1" pivotButton="0" quotePrefix="0" xfId="0"/>
    <xf numFmtId="0" fontId="25" fillId="0" borderId="1" pivotButton="0" quotePrefix="0" xfId="0"/>
    <xf numFmtId="0" fontId="5" fillId="2" borderId="0" pivotButton="0" quotePrefix="0" xfId="0"/>
    <xf numFmtId="0" fontId="3" fillId="2" borderId="0" pivotButton="0" quotePrefix="0" xfId="0"/>
    <xf numFmtId="9" fontId="3" fillId="2" borderId="0" pivotButton="0" quotePrefix="0" xfId="0"/>
    <xf numFmtId="0" fontId="4" fillId="2" borderId="0" pivotButton="0" quotePrefix="0" xfId="0"/>
    <xf numFmtId="165" fontId="3" fillId="2" borderId="1" pivotButton="0" quotePrefix="0" xfId="0"/>
    <xf numFmtId="0" fontId="3" fillId="2" borderId="1" pivotButton="0" quotePrefix="0" xfId="0"/>
    <xf numFmtId="166" fontId="3" fillId="2" borderId="1" pivotButton="0" quotePrefix="0" xfId="0"/>
    <xf numFmtId="166" fontId="8" fillId="2" borderId="0" pivotButton="0" quotePrefix="0" xfId="0"/>
    <xf numFmtId="167" fontId="9" fillId="2" borderId="0" pivotButton="0" quotePrefix="0" xfId="0"/>
    <xf numFmtId="166" fontId="9" fillId="2" borderId="0" pivotButton="0" quotePrefix="0" xfId="0"/>
    <xf numFmtId="166" fontId="10" fillId="2" borderId="0" pivotButton="0" quotePrefix="0" xfId="0"/>
  </cellXfs>
  <cellStyles count="1">
    <cellStyle name="Normal" xfId="0" builtinId="0" hidden="0"/>
  </cellStyles>
  <dxfs count="3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  <dxf>
      <font>
        <name val="Aptos Narrow"/>
        <b val="1"/>
        <color rgb="00FFFFFF"/>
        <sz val="10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de gastos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'DASHBOARD'!$B$14:$B$23</f>
            </numRef>
          </cat>
          <val>
            <numRef>
              <f>'DASHBOARD'!$C$14:$C$23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Raio-X financeiro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'DASHBOARD'!G27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'DASHBOARD'!$F$28:$F$32</f>
            </numRef>
          </cat>
          <val>
            <numRef>
              <f>'DASHBOARD'!$G$28:$G$32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do mês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'DASHBOARD'!O37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'DASHBOARD'!$N$38:$N$40</f>
            </numRef>
          </cat>
          <val>
            <numRef>
              <f>'DASHBOARD'!$O$38:$O$40</f>
            </numRef>
          </val>
        </ser>
        <ser>
          <idx val="1"/>
          <order val="1"/>
          <tx>
            <strRef>
              <f>'DASHBOARD'!P37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'DASHBOARD'!$N$38:$N$40</f>
            </numRef>
          </cat>
          <val>
            <numRef>
              <f>'DASHBOARD'!$P$38:$P$40</f>
            </numRef>
          </val>
        </ser>
        <ser>
          <idx val="2"/>
          <order val="2"/>
          <tx>
            <strRef>
              <f>'DASHBOARD'!Q37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'DASHBOARD'!$N$38:$N$40</f>
            </numRef>
          </cat>
          <val>
            <numRef>
              <f>'DASHBOARD'!$Q$38:$Q$40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'DASHBOARD'!O49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'DASHBOARD'!$N$50:$N$61</f>
            </numRef>
          </cat>
          <val>
            <numRef>
              <f>'DASHBOARD'!$O$50:$O$61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patrimônio (12m)</a:t>
            </a:r>
          </a:p>
        </rich>
      </tx>
    </title>
    <plotArea>
      <lineChart>
        <grouping val="standard"/>
        <ser>
          <idx val="0"/>
          <order val="0"/>
          <tx>
            <strRef>
              <f>'PROJECAO'!B9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'PROJECAO'!$A$10:$A$21</f>
            </numRef>
          </cat>
          <val>
            <numRef>
              <f>'PROJECAO'!$B$10:$B$21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32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25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35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47</row>
      <rowOff>0</rowOff>
    </from>
    <ext cx="3600000" cy="16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1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Diagnóstico Financeiro 360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Score de saúde · projeção · alertas inteligentes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RENDA DO MÊS</t>
        </is>
      </c>
      <c r="C5" s="6" t="n"/>
      <c r="D5" s="5" t="inlineStr">
        <is>
          <t>GASTOS</t>
        </is>
      </c>
      <c r="E5" s="6" t="n"/>
      <c r="F5" s="5" t="inlineStr">
        <is>
          <t>SALDO</t>
        </is>
      </c>
      <c r="G5" s="6" t="n"/>
      <c r="H5" s="5" t="inlineStr">
        <is>
          <t>TAXA DE POUPANÇA</t>
        </is>
      </c>
      <c r="I5" s="6" t="n"/>
      <c r="J5" s="5" t="inlineStr">
        <is>
          <t>SCORE DE SAÚDE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Z43</f>
        <v/>
      </c>
      <c r="I6" s="6" t="n"/>
      <c r="J6" s="11">
        <f>Z47</f>
        <v/>
      </c>
      <c r="K6" s="6" t="n"/>
      <c r="L6" s="2" t="n"/>
    </row>
    <row r="7" ht="14" customHeight="1">
      <c r="A7" s="2" t="n"/>
      <c r="B7" s="12" t="inlineStr"/>
      <c r="C7" s="6" t="n"/>
      <c r="D7" s="12" t="inlineStr"/>
      <c r="E7" s="6" t="n"/>
      <c r="F7" s="12" t="inlineStr">
        <is>
          <t>sobra reinvestível</t>
        </is>
      </c>
      <c r="G7" s="6" t="n"/>
      <c r="H7" s="12" t="inlineStr"/>
      <c r="I7" s="6" t="n"/>
      <c r="J7" s="12" t="inlineStr">
        <is>
          <t>0–100 · quanto maior melhor</t>
        </is>
      </c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2" customHeight="1">
      <c r="A9" s="2" t="n"/>
      <c r="B9" s="13">
        <f>IF(Z47&gt;=80,"🟢 Excelente — patrimônio crescendo. Mantenha os aportes.",IF(Z47&gt;=60,"🟡 Saudável — reduza estilo de vida e aumente aportes.",IF(Z47&gt;=40,"🟠 Atenção — controle gastos e comece a investir.","🔴 Crítico — corte dívidas e despesas não essenciais já.")))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</row>
    <row r="10">
      <c r="A10" s="2" t="n"/>
      <c r="B10" s="2" t="n"/>
      <c r="C10" s="15">
        <f>MAX(0,Z42)</f>
        <v/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6" t="inlineStr">
        <is>
          <t>GASTOS POR CATEGORIA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26" customHeight="1">
      <c r="A13" s="2" t="n"/>
      <c r="B13" s="17" t="inlineStr">
        <is>
          <t>Categoria</t>
        </is>
      </c>
      <c r="C13" s="17" t="inlineStr">
        <is>
          <t>Total</t>
        </is>
      </c>
      <c r="D13" s="17" t="inlineStr">
        <is>
          <t>% da renda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8" t="inlineStr">
        <is>
          <t>Moradia</t>
        </is>
      </c>
      <c r="C14" s="19">
        <f>SUMIFS(LANCAMENTOS!$E:$E,LANCAMENTOS!$B:$B,B14,LANCAMENTOS!$D:$D,"Saída")</f>
        <v/>
      </c>
      <c r="D14" s="20">
        <f>IFERROR(C14/$Z$40,0)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8" t="inlineStr">
        <is>
          <t>Alimentação</t>
        </is>
      </c>
      <c r="C15" s="19">
        <f>SUMIFS(LANCAMENTOS!$E:$E,LANCAMENTOS!$B:$B,B15,LANCAMENTOS!$D:$D,"Saída")</f>
        <v/>
      </c>
      <c r="D15" s="20">
        <f>IFERROR(C15/$Z$40,0)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18" t="inlineStr">
        <is>
          <t>Transporte</t>
        </is>
      </c>
      <c r="C16" s="19">
        <f>SUMIFS(LANCAMENTOS!$E:$E,LANCAMENTOS!$B:$B,B16,LANCAMENTOS!$D:$D,"Saída")</f>
        <v/>
      </c>
      <c r="D16" s="20">
        <f>IFERROR(C16/$Z$40,0)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18" t="inlineStr">
        <is>
          <t>Saúde</t>
        </is>
      </c>
      <c r="C17" s="19">
        <f>SUMIFS(LANCAMENTOS!$E:$E,LANCAMENTOS!$B:$B,B17,LANCAMENTOS!$D:$D,"Saída")</f>
        <v/>
      </c>
      <c r="D17" s="20">
        <f>IFERROR(C17/$Z$40,0)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18" t="inlineStr">
        <is>
          <t>Educação</t>
        </is>
      </c>
      <c r="C18" s="19">
        <f>SUMIFS(LANCAMENTOS!$E:$E,LANCAMENTOS!$B:$B,B18,LANCAMENTOS!$D:$D,"Saída")</f>
        <v/>
      </c>
      <c r="D18" s="20">
        <f>IFERROR(C18/$Z$40,0)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18" t="inlineStr">
        <is>
          <t>Lazer</t>
        </is>
      </c>
      <c r="C19" s="19">
        <f>SUMIFS(LANCAMENTOS!$E:$E,LANCAMENTOS!$B:$B,B19,LANCAMENTOS!$D:$D,"Saída")</f>
        <v/>
      </c>
      <c r="D19" s="20">
        <f>IFERROR(C19/$Z$40,0)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18" t="inlineStr">
        <is>
          <t>Assinaturas</t>
        </is>
      </c>
      <c r="C20" s="19">
        <f>SUMIFS(LANCAMENTOS!$E:$E,LANCAMENTOS!$B:$B,B20,LANCAMENTOS!$D:$D,"Saída")</f>
        <v/>
      </c>
      <c r="D20" s="20">
        <f>IFERROR(C20/$Z$40,0)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18" t="inlineStr">
        <is>
          <t>Investimentos</t>
        </is>
      </c>
      <c r="C21" s="19">
        <f>SUMIFS(LANCAMENTOS!$E:$E,LANCAMENTOS!$B:$B,B21,LANCAMENTOS!$D:$D,"Saída")</f>
        <v/>
      </c>
      <c r="D21" s="20">
        <f>IFERROR(C21/$Z$40,0)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18" t="inlineStr">
        <is>
          <t>Dívidas</t>
        </is>
      </c>
      <c r="C22" s="19">
        <f>SUMIFS(LANCAMENTOS!$E:$E,LANCAMENTOS!$B:$B,B22,LANCAMENTOS!$D:$D,"Saída")</f>
        <v/>
      </c>
      <c r="D22" s="20">
        <f>IFERROR(C22/$Z$40,0)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18" t="inlineStr">
        <is>
          <t>Outros</t>
        </is>
      </c>
      <c r="C23" s="19">
        <f>SUMIFS(LANCAMENTOS!$E:$E,LANCAMENTOS!$B:$B,B23,LANCAMENTOS!$D:$D,"Saída")</f>
        <v/>
      </c>
      <c r="D23" s="20">
        <f>IFERROR(C23/$Z$40,0)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16" t="inlineStr">
        <is>
          <t>RAIO-X (5 dimensões)</t>
        </is>
      </c>
      <c r="G26" s="2" t="n"/>
      <c r="H26" s="2" t="n"/>
      <c r="I26" s="2" t="n"/>
      <c r="J26" s="2" t="n"/>
      <c r="K26" s="2" t="n"/>
      <c r="L26" s="2" t="n"/>
    </row>
    <row r="27" ht="26" customHeight="1">
      <c r="A27" s="2" t="n"/>
      <c r="B27" s="2" t="n"/>
      <c r="C27" s="2" t="n"/>
      <c r="D27" s="2" t="n"/>
      <c r="E27" s="2" t="n"/>
      <c r="F27" s="17" t="inlineStr">
        <is>
          <t>Dimensão</t>
        </is>
      </c>
      <c r="G27" s="17" t="inlineStr">
        <is>
          <t>Índice 0-100</t>
        </is>
      </c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1" t="inlineStr">
        <is>
          <t>Poupança</t>
        </is>
      </c>
      <c r="G28" s="22">
        <f>MIN(100,MAX(0,Z43)*400)</f>
        <v/>
      </c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1" t="inlineStr">
        <is>
          <t>Investir</t>
        </is>
      </c>
      <c r="G29" s="22">
        <f>MIN(100,IFERROR(Z44/Z40,0)*400)</f>
        <v/>
      </c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1" t="inlineStr">
        <is>
          <t>Controle gasto</t>
        </is>
      </c>
      <c r="G30" s="22">
        <f>MAX(0,100-(Z46-0.5)*120)</f>
        <v/>
      </c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1" t="inlineStr">
        <is>
          <t>Baixa dívida</t>
        </is>
      </c>
      <c r="G31" s="22">
        <f>MAX(0,100-IFERROR(Z45/Z40,0)*300)</f>
        <v/>
      </c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1" t="inlineStr">
        <is>
          <t>Reserva</t>
        </is>
      </c>
      <c r="G32" s="22">
        <f>MIN(100,IFERROR(Z42/Z41,0)*100)</f>
        <v/>
      </c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16" t="inlineStr">
        <is>
          <t>MINI-SPARKLINES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N36" s="23" t="inlineStr">
        <is>
          <t>Cascata Renda → Saldo</t>
        </is>
      </c>
    </row>
    <row r="37" ht="26" customHeight="1">
      <c r="A37" s="2" t="n"/>
      <c r="B37" s="17" t="inlineStr">
        <is>
          <t>Indicador</t>
        </is>
      </c>
      <c r="C37" s="17" t="inlineStr">
        <is>
          <t>Atual</t>
        </is>
      </c>
      <c r="D37" s="17" t="inlineStr">
        <is>
          <t>S1</t>
        </is>
      </c>
      <c r="E37" s="17" t="inlineStr">
        <is>
          <t>S2</t>
        </is>
      </c>
      <c r="F37" s="17" t="inlineStr">
        <is>
          <t>S3</t>
        </is>
      </c>
      <c r="G37" s="17" t="inlineStr">
        <is>
          <t>S4</t>
        </is>
      </c>
      <c r="H37" s="17" t="inlineStr">
        <is>
          <t>S5</t>
        </is>
      </c>
      <c r="I37" s="17" t="inlineStr">
        <is>
          <t>S6</t>
        </is>
      </c>
      <c r="J37" s="17" t="inlineStr">
        <is>
          <t>Spark</t>
        </is>
      </c>
      <c r="K37" s="2" t="n"/>
      <c r="L37" s="2" t="n"/>
      <c r="N37" s="17" t="inlineStr">
        <is>
          <t>Etapa</t>
        </is>
      </c>
      <c r="O37" s="17" t="inlineStr">
        <is>
          <t>Base</t>
        </is>
      </c>
      <c r="P37" s="17" t="inlineStr">
        <is>
          <t>Alta</t>
        </is>
      </c>
      <c r="Q37" s="17" t="inlineStr">
        <is>
          <t>Baixa</t>
        </is>
      </c>
      <c r="R37" s="17" t="inlineStr">
        <is>
          <t>Total</t>
        </is>
      </c>
      <c r="S37" s="17" t="inlineStr">
        <is>
          <t>Δ</t>
        </is>
      </c>
    </row>
    <row r="38">
      <c r="A38" s="2" t="n"/>
      <c r="B38" s="18" t="inlineStr">
        <is>
          <t>Poupança %</t>
        </is>
      </c>
      <c r="C38" s="24">
        <f>$Z$43*100</f>
        <v/>
      </c>
      <c r="D38" s="25" t="n">
        <v>10</v>
      </c>
      <c r="E38" s="25" t="n">
        <v>12</v>
      </c>
      <c r="F38" s="25" t="n">
        <v>15</v>
      </c>
      <c r="G38" s="25" t="n">
        <v>18</v>
      </c>
      <c r="H38" s="25" t="n">
        <v>22</v>
      </c>
      <c r="I38" s="25">
        <f>$Z$43*100</f>
        <v/>
      </c>
      <c r="J38" s="26">
        <f>IF(D38=""," ",MID("▁▂▃▄▅▆▇█",MAX(1,MIN(8,ROUND((D38-(MIN(D38:I38)))/MAX(1E-9,(MAX(D38:I38))-(MIN(D38:I38)))*7+1,0))),1))&amp;IF(E38=""," ",MID("▁▂▃▄▅▆▇█",MAX(1,MIN(8,ROUND((E38-(MIN(D38:I38)))/MAX(1E-9,(MAX(D38:I38))-(MIN(D38:I38)))*7+1,0))),1))&amp;IF(F38=""," ",MID("▁▂▃▄▅▆▇█",MAX(1,MIN(8,ROUND((F38-(MIN(D38:I38)))/MAX(1E-9,(MAX(D38:I38))-(MIN(D38:I38)))*7+1,0))),1))&amp;IF(G38=""," ",MID("▁▂▃▄▅▆▇█",MAX(1,MIN(8,ROUND((G38-(MIN(D38:I38)))/MAX(1E-9,(MAX(D38:I38))-(MIN(D38:I38)))*7+1,0))),1))&amp;IF(H38=""," ",MID("▁▂▃▄▅▆▇█",MAX(1,MIN(8,ROUND((H38-(MIN(D38:I38)))/MAX(1E-9,(MAX(D38:I38))-(MIN(D38:I38)))*7+1,0))),1))&amp;IF(I38=""," ",MID("▁▂▃▄▅▆▇█",MAX(1,MIN(8,ROUND((I38-(MIN(D38:I38)))/MAX(1E-9,(MAX(D38:I38))-(MIN(D38:I38)))*7+1,0))),1))</f>
        <v/>
      </c>
      <c r="K38" s="2" t="n"/>
      <c r="L38" s="2" t="n"/>
      <c r="N38" s="27" t="inlineStr">
        <is>
          <t>Renda</t>
        </is>
      </c>
      <c r="O38" s="28" t="n">
        <v>0</v>
      </c>
      <c r="P38" s="28">
        <f>IF(S38&gt;=0,S38,0)</f>
        <v/>
      </c>
      <c r="Q38" s="28">
        <f>IF(S38&lt;0,-S38,0)</f>
        <v/>
      </c>
      <c r="R38" s="28">
        <f>S38</f>
        <v/>
      </c>
      <c r="S38" s="29">
        <f>$Z$40</f>
        <v/>
      </c>
    </row>
    <row r="39">
      <c r="A39" s="2" t="n"/>
      <c r="B39" s="18" t="inlineStr">
        <is>
          <t>Score</t>
        </is>
      </c>
      <c r="C39" s="24">
        <f>$Z$47</f>
        <v/>
      </c>
      <c r="D39" s="25" t="n">
        <v>55</v>
      </c>
      <c r="E39" s="25" t="n">
        <v>62</v>
      </c>
      <c r="F39" s="25" t="n">
        <v>68</v>
      </c>
      <c r="G39" s="25" t="n">
        <v>74</v>
      </c>
      <c r="H39" s="25" t="n">
        <v>85</v>
      </c>
      <c r="I39" s="25">
        <f>$Z$47</f>
        <v/>
      </c>
      <c r="J39" s="26">
        <f>IF(D39=""," ",MID("▁▂▃▄▅▆▇█",MAX(1,MIN(8,ROUND((D39-(MIN(D39:I39)))/MAX(1E-9,(MAX(D39:I39))-(MIN(D39:I39)))*7+1,0))),1))&amp;IF(E39=""," ",MID("▁▂▃▄▅▆▇█",MAX(1,MIN(8,ROUND((E39-(MIN(D39:I39)))/MAX(1E-9,(MAX(D39:I39))-(MIN(D39:I39)))*7+1,0))),1))&amp;IF(F39=""," ",MID("▁▂▃▄▅▆▇█",MAX(1,MIN(8,ROUND((F39-(MIN(D39:I39)))/MAX(1E-9,(MAX(D39:I39))-(MIN(D39:I39)))*7+1,0))),1))&amp;IF(G39=""," ",MID("▁▂▃▄▅▆▇█",MAX(1,MIN(8,ROUND((G39-(MIN(D39:I39)))/MAX(1E-9,(MAX(D39:I39))-(MIN(D39:I39)))*7+1,0))),1))&amp;IF(H39=""," ",MID("▁▂▃▄▅▆▇█",MAX(1,MIN(8,ROUND((H39-(MIN(D39:I39)))/MAX(1E-9,(MAX(D39:I39))-(MIN(D39:I39)))*7+1,0))),1))&amp;IF(I39=""," ",MID("▁▂▃▄▅▆▇█",MAX(1,MIN(8,ROUND((I39-(MIN(D39:I39)))/MAX(1E-9,(MAX(D39:I39))-(MIN(D39:I39)))*7+1,0))),1))</f>
        <v/>
      </c>
      <c r="K39" s="2" t="n"/>
      <c r="L39" s="2" t="n"/>
      <c r="N39" s="27" t="inlineStr">
        <is>
          <t>Gastos</t>
        </is>
      </c>
      <c r="O39" s="28">
        <f>IF(S39&gt;=0,R38,R38+S39)</f>
        <v/>
      </c>
      <c r="P39" s="28">
        <f>IF(S39&gt;=0,S39,0)</f>
        <v/>
      </c>
      <c r="Q39" s="28">
        <f>IF(S39&lt;0,-S39,0)</f>
        <v/>
      </c>
      <c r="R39" s="28">
        <f>R38+S39</f>
        <v/>
      </c>
      <c r="S39" s="29">
        <f>-$Z$41</f>
        <v/>
      </c>
    </row>
    <row r="40">
      <c r="A40" s="2" t="n"/>
      <c r="B40" s="18" t="inlineStr">
        <is>
          <t>Investimentos</t>
        </is>
      </c>
      <c r="C40" s="24">
        <f>$Z$44</f>
        <v/>
      </c>
      <c r="D40" s="25" t="n">
        <v>400</v>
      </c>
      <c r="E40" s="25" t="n">
        <v>600</v>
      </c>
      <c r="F40" s="25" t="n">
        <v>800</v>
      </c>
      <c r="G40" s="25" t="n">
        <v>1000</v>
      </c>
      <c r="H40" s="25" t="n">
        <v>1200</v>
      </c>
      <c r="I40" s="25">
        <f>$Z$44</f>
        <v/>
      </c>
      <c r="J40" s="26">
        <f>IF(D40=""," ",MID("▁▂▃▄▅▆▇█",MAX(1,MIN(8,ROUND((D40-(MIN(D40:I40)))/MAX(1E-9,(MAX(D40:I40))-(MIN(D40:I40)))*7+1,0))),1))&amp;IF(E40=""," ",MID("▁▂▃▄▅▆▇█",MAX(1,MIN(8,ROUND((E40-(MIN(D40:I40)))/MAX(1E-9,(MAX(D40:I40))-(MIN(D40:I40)))*7+1,0))),1))&amp;IF(F40=""," ",MID("▁▂▃▄▅▆▇█",MAX(1,MIN(8,ROUND((F40-(MIN(D40:I40)))/MAX(1E-9,(MAX(D40:I40))-(MIN(D40:I40)))*7+1,0))),1))&amp;IF(G40=""," ",MID("▁▂▃▄▅▆▇█",MAX(1,MIN(8,ROUND((G40-(MIN(D40:I40)))/MAX(1E-9,(MAX(D40:I40))-(MIN(D40:I40)))*7+1,0))),1))&amp;IF(H40=""," ",MID("▁▂▃▄▅▆▇█",MAX(1,MIN(8,ROUND((H40-(MIN(D40:I40)))/MAX(1E-9,(MAX(D40:I40))-(MIN(D40:I40)))*7+1,0))),1))&amp;IF(I40=""," ",MID("▁▂▃▄▅▆▇█",MAX(1,MIN(8,ROUND((I40-(MIN(D40:I40)))/MAX(1E-9,(MAX(D40:I40))-(MIN(D40:I40)))*7+1,0))),1))</f>
        <v/>
      </c>
      <c r="K40" s="2" t="n"/>
      <c r="L40" s="2" t="n"/>
      <c r="N40" s="27" t="inlineStr">
        <is>
          <t>Saldo</t>
        </is>
      </c>
      <c r="O40" s="28" t="n">
        <v>0</v>
      </c>
      <c r="P40" s="28">
        <f>IF(S40&gt;=0,S40,0)</f>
        <v/>
      </c>
      <c r="Q40" s="28">
        <f>IF(S40&lt;0,-S40,0)</f>
        <v/>
      </c>
      <c r="R40" s="28">
        <f>S40</f>
        <v/>
      </c>
      <c r="S40" s="29">
        <f>$Z$42</f>
        <v/>
      </c>
      <c r="Z40" s="30">
        <f>SUMIF(LANCAMENTOS!D:D,"Entrada",LANCAMENTOS!E:E)</f>
        <v/>
      </c>
    </row>
    <row r="41">
      <c r="A41" s="2" t="n"/>
      <c r="B41" s="18" t="inlineStr">
        <is>
          <t>Dívidas</t>
        </is>
      </c>
      <c r="C41" s="24">
        <f>$Z$45</f>
        <v/>
      </c>
      <c r="D41" s="25" t="n">
        <v>1400</v>
      </c>
      <c r="E41" s="25" t="n">
        <v>1200</v>
      </c>
      <c r="F41" s="25" t="n">
        <v>1100</v>
      </c>
      <c r="G41" s="25" t="n">
        <v>1000</v>
      </c>
      <c r="H41" s="25" t="n">
        <v>950</v>
      </c>
      <c r="I41" s="25">
        <f>$Z$45</f>
        <v/>
      </c>
      <c r="J41" s="26">
        <f>IF(D41=""," ",MID("▁▂▃▄▅▆▇█",MAX(1,MIN(8,ROUND((D41-(MIN(D41:I41)))/MAX(1E-9,(MAX(D41:I41))-(MIN(D41:I41)))*7+1,0))),1))&amp;IF(E41=""," ",MID("▁▂▃▄▅▆▇█",MAX(1,MIN(8,ROUND((E41-(MIN(D41:I41)))/MAX(1E-9,(MAX(D41:I41))-(MIN(D41:I41)))*7+1,0))),1))&amp;IF(F41=""," ",MID("▁▂▃▄▅▆▇█",MAX(1,MIN(8,ROUND((F41-(MIN(D41:I41)))/MAX(1E-9,(MAX(D41:I41))-(MIN(D41:I41)))*7+1,0))),1))&amp;IF(G41=""," ",MID("▁▂▃▄▅▆▇█",MAX(1,MIN(8,ROUND((G41-(MIN(D41:I41)))/MAX(1E-9,(MAX(D41:I41))-(MIN(D41:I41)))*7+1,0))),1))&amp;IF(H41=""," ",MID("▁▂▃▄▅▆▇█",MAX(1,MIN(8,ROUND((H41-(MIN(D41:I41)))/MAX(1E-9,(MAX(D41:I41))-(MIN(D41:I41)))*7+1,0))),1))&amp;IF(I41=""," ",MID("▁▂▃▄▅▆▇█",MAX(1,MIN(8,ROUND((I41-(MIN(D41:I41)))/MAX(1E-9,(MAX(D41:I41))-(MIN(D41:I41)))*7+1,0))),1))</f>
        <v/>
      </c>
      <c r="K41" s="2" t="n"/>
      <c r="L41" s="2" t="n"/>
      <c r="Z41" s="30">
        <f>SUMIF(LANCAMENTOS!D:D,"Saída",LANCAMENTOS!E:E)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Z42" s="30">
        <f>Z40-Z41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Z43" s="30">
        <f>IFERROR(Z42/Z40,0)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30">
        <f>SUMIF(LANCAMENTOS!B:B,"Investimentos",LANCAMENTOS!E:E)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Z45" s="30">
        <f>SUMIF(LANCAMENTOS!B:B,"Dívidas",LANCAMENTOS!E:E)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Z46" s="30">
        <f>IFERROR(Z41/Z40,1)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Z47" s="30">
        <f>ROUND(MAX(0,MIN(100,MIN(40,MAX(0,Z43)*160)+MIN(25,IFERROR(Z44/Z40,0)*250)+MAX(0,20-IFERROR(Z45/Z40,0)*100)+MAX(0,15-(Z46-0.7)*50))),0)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N48" s="23" t="inlineStr">
        <is>
          <t>Spark · patrimônio 12m</t>
        </is>
      </c>
    </row>
    <row r="49" ht="2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N49" s="17" t="inlineStr">
        <is>
          <t>Ponto</t>
        </is>
      </c>
      <c r="O49" s="17" t="inlineStr">
        <is>
          <t>Valor</t>
        </is>
      </c>
      <c r="P49" s="31" t="inlineStr">
        <is>
          <t>Spark</t>
        </is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N50" s="32" t="inlineStr">
        <is>
          <t>M1</t>
        </is>
      </c>
      <c r="O50" s="33">
        <f>PROJECAO!B10</f>
        <v/>
      </c>
      <c r="P50" s="34">
        <f>IF(OR(O50="",NOT(ISNUMBER(O50))),"",REPT("▬",MAX(1,ROUND((O50-(MIN(O50:O61)))/MAX(1E-9,(MAX(O50:O61))-(MIN(O50:O61)))*10,0))))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N51" s="32" t="inlineStr">
        <is>
          <t>M2</t>
        </is>
      </c>
      <c r="O51" s="33">
        <f>PROJECAO!B11</f>
        <v/>
      </c>
      <c r="P51" s="34">
        <f>IF(OR(O51="",NOT(ISNUMBER(O51))),"",REPT("▬",MAX(1,ROUND((O51-(MIN(O50:O61)))/MAX(1E-9,(MAX(O50:O61))-(MIN(O50:O61)))*10,0))))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N52" s="32" t="inlineStr">
        <is>
          <t>M3</t>
        </is>
      </c>
      <c r="O52" s="33">
        <f>PROJECAO!B12</f>
        <v/>
      </c>
      <c r="P52" s="34">
        <f>IF(OR(O52="",NOT(ISNUMBER(O52))),"",REPT("▬",MAX(1,ROUND((O52-(MIN(O50:O61)))/MAX(1E-9,(MAX(O50:O61))-(MIN(O50:O61)))*10,0))))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N53" s="32" t="inlineStr">
        <is>
          <t>M4</t>
        </is>
      </c>
      <c r="O53" s="33">
        <f>PROJECAO!B13</f>
        <v/>
      </c>
      <c r="P53" s="34">
        <f>IF(OR(O53="",NOT(ISNUMBER(O53))),"",REPT("▬",MAX(1,ROUND((O53-(MIN(O50:O61)))/MAX(1E-9,(MAX(O50:O61))-(MIN(O50:O61)))*10,0))))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N54" s="32" t="inlineStr">
        <is>
          <t>M5</t>
        </is>
      </c>
      <c r="O54" s="33">
        <f>PROJECAO!B14</f>
        <v/>
      </c>
      <c r="P54" s="34">
        <f>IF(OR(O54="",NOT(ISNUMBER(O54))),"",REPT("▬",MAX(1,ROUND((O54-(MIN(O50:O61)))/MAX(1E-9,(MAX(O50:O61))-(MIN(O50:O61)))*10,0))))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N55" s="32" t="inlineStr">
        <is>
          <t>M6</t>
        </is>
      </c>
      <c r="O55" s="33">
        <f>PROJECAO!B15</f>
        <v/>
      </c>
      <c r="P55" s="34">
        <f>IF(OR(O55="",NOT(ISNUMBER(O55))),"",REPT("▬",MAX(1,ROUND((O55-(MIN(O50:O61)))/MAX(1E-9,(MAX(O50:O61))-(MIN(O50:O61)))*10,0))))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N56" s="32" t="inlineStr">
        <is>
          <t>M7</t>
        </is>
      </c>
      <c r="O56" s="33">
        <f>PROJECAO!B16</f>
        <v/>
      </c>
      <c r="P56" s="34">
        <f>IF(OR(O56="",NOT(ISNUMBER(O56))),"",REPT("▬",MAX(1,ROUND((O56-(MIN(O50:O61)))/MAX(1E-9,(MAX(O50:O61))-(MIN(O50:O61)))*10,0))))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N57" s="32" t="inlineStr">
        <is>
          <t>M8</t>
        </is>
      </c>
      <c r="O57" s="33">
        <f>PROJECAO!B17</f>
        <v/>
      </c>
      <c r="P57" s="34">
        <f>IF(OR(O57="",NOT(ISNUMBER(O57))),"",REPT("▬",MAX(1,ROUND((O57-(MIN(O50:O61)))/MAX(1E-9,(MAX(O50:O61))-(MIN(O50:O61)))*10,0))))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N58" s="32" t="inlineStr">
        <is>
          <t>M9</t>
        </is>
      </c>
      <c r="O58" s="33">
        <f>PROJECAO!B18</f>
        <v/>
      </c>
      <c r="P58" s="34">
        <f>IF(OR(O58="",NOT(ISNUMBER(O58))),"",REPT("▬",MAX(1,ROUND((O58-(MIN(O50:O61)))/MAX(1E-9,(MAX(O50:O61))-(MIN(O50:O61)))*10,0))))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N59" s="32" t="inlineStr">
        <is>
          <t>M10</t>
        </is>
      </c>
      <c r="O59" s="33">
        <f>PROJECAO!B19</f>
        <v/>
      </c>
      <c r="P59" s="34">
        <f>IF(OR(O59="",NOT(ISNUMBER(O59))),"",REPT("▬",MAX(1,ROUND((O59-(MIN(O50:O61)))/MAX(1E-9,(MAX(O50:O61))-(MIN(O50:O61)))*10,0))))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N60" s="32" t="inlineStr">
        <is>
          <t>M11</t>
        </is>
      </c>
      <c r="O60" s="33">
        <f>PROJECAO!B20</f>
        <v/>
      </c>
      <c r="P60" s="34">
        <f>IF(OR(O60="",NOT(ISNUMBER(O60))),"",REPT("▬",MAX(1,ROUND((O60-(MIN(O50:O61)))/MAX(1E-9,(MAX(O50:O61))-(MIN(O50:O61)))*10,0))))</f>
        <v/>
      </c>
    </row>
    <row r="61">
      <c r="N61" s="32" t="inlineStr">
        <is>
          <t>M12</t>
        </is>
      </c>
      <c r="O61" s="33">
        <f>PROJECAO!B21</f>
        <v/>
      </c>
      <c r="P61" s="34">
        <f>IF(OR(O61="",NOT(ISNUMBER(O61))),"",REPT("▬",MAX(1,ROUND((O61-(MIN(O50:O61)))/MAX(1E-9,(MAX(O50:O61))-(MIN(O50:O61)))*10,0))))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C14:C23">
    <cfRule type="dataBar" priority="1">
      <dataBar>
        <cfvo type="min"/>
        <cfvo type="max"/>
        <color rgb="00C99C66"/>
      </dataBar>
    </cfRule>
  </conditionalFormatting>
  <conditionalFormatting sqref="S38:S40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C38:C41">
    <cfRule type="dataBar" priority="4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40" customWidth="1" min="4" max="4"/>
  </cols>
  <sheetData>
    <row r="1">
      <c r="A1" s="16" t="inlineStr">
        <is>
          <t>CATEGORIAS &amp; PESOS DO DIAGNÓSTICO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17" t="inlineStr">
        <is>
          <t>Categoria</t>
        </is>
      </c>
      <c r="B3" s="17" t="inlineStr">
        <is>
          <t>Teto ideal %</t>
        </is>
      </c>
      <c r="C3" s="17" t="inlineStr">
        <is>
          <t>Tipo</t>
        </is>
      </c>
      <c r="D3" s="35" t="inlineStr">
        <is>
          <t>Tipos de lançamento</t>
        </is>
      </c>
      <c r="E3" s="2" t="n"/>
      <c r="F3" s="2" t="n"/>
      <c r="G3" s="2" t="n"/>
      <c r="H3" s="2" t="n"/>
    </row>
    <row r="4">
      <c r="A4" s="36" t="inlineStr">
        <is>
          <t>Moradia</t>
        </is>
      </c>
      <c r="B4" s="37" t="n">
        <v>0.3</v>
      </c>
      <c r="C4" s="38" t="inlineStr">
        <is>
          <t>Essencial</t>
        </is>
      </c>
      <c r="D4" s="36" t="inlineStr">
        <is>
          <t>Entrada</t>
        </is>
      </c>
      <c r="E4" s="2" t="n"/>
      <c r="F4" s="2" t="n"/>
      <c r="G4" s="2" t="n"/>
      <c r="H4" s="2" t="n"/>
    </row>
    <row r="5">
      <c r="A5" s="36" t="inlineStr">
        <is>
          <t>Alimentação</t>
        </is>
      </c>
      <c r="B5" s="37" t="n">
        <v>0.15</v>
      </c>
      <c r="C5" s="38" t="inlineStr">
        <is>
          <t>Essencial</t>
        </is>
      </c>
      <c r="D5" s="36" t="inlineStr">
        <is>
          <t>Saída</t>
        </is>
      </c>
      <c r="E5" s="2" t="n"/>
      <c r="F5" s="2" t="n"/>
      <c r="G5" s="2" t="n"/>
      <c r="H5" s="2" t="n"/>
    </row>
    <row r="6">
      <c r="A6" s="36" t="inlineStr">
        <is>
          <t>Transporte</t>
        </is>
      </c>
      <c r="B6" s="37" t="n">
        <v>0.1</v>
      </c>
      <c r="C6" s="38" t="inlineStr">
        <is>
          <t>Essencial</t>
        </is>
      </c>
      <c r="D6" s="2" t="n"/>
      <c r="E6" s="2" t="n"/>
      <c r="F6" s="2" t="n"/>
      <c r="G6" s="2" t="n"/>
      <c r="H6" s="2" t="n"/>
    </row>
    <row r="7">
      <c r="A7" s="36" t="inlineStr">
        <is>
          <t>Saúde</t>
        </is>
      </c>
      <c r="B7" s="37" t="n">
        <v>0.08</v>
      </c>
      <c r="C7" s="38" t="inlineStr">
        <is>
          <t>Essencial</t>
        </is>
      </c>
      <c r="D7" s="2" t="n"/>
      <c r="E7" s="2" t="n"/>
      <c r="F7" s="2" t="n"/>
      <c r="G7" s="2" t="n"/>
      <c r="H7" s="2" t="n"/>
    </row>
    <row r="8">
      <c r="A8" s="36" t="inlineStr">
        <is>
          <t>Educação</t>
        </is>
      </c>
      <c r="B8" s="37" t="n">
        <v>0.08</v>
      </c>
      <c r="C8" s="38" t="inlineStr">
        <is>
          <t>Investimento</t>
        </is>
      </c>
      <c r="D8" s="2" t="n"/>
      <c r="E8" s="2" t="n"/>
      <c r="F8" s="2" t="n"/>
      <c r="G8" s="2" t="n"/>
      <c r="H8" s="2" t="n"/>
    </row>
    <row r="9">
      <c r="A9" s="36" t="inlineStr">
        <is>
          <t>Lazer</t>
        </is>
      </c>
      <c r="B9" s="37" t="n">
        <v>0.08</v>
      </c>
      <c r="C9" s="38" t="inlineStr">
        <is>
          <t>Estilo de vida</t>
        </is>
      </c>
      <c r="D9" s="2" t="n"/>
      <c r="E9" s="2" t="n"/>
      <c r="F9" s="2" t="n"/>
      <c r="G9" s="2" t="n"/>
      <c r="H9" s="2" t="n"/>
    </row>
    <row r="10">
      <c r="A10" s="36" t="inlineStr">
        <is>
          <t>Assinaturas</t>
        </is>
      </c>
      <c r="B10" s="37" t="n">
        <v>0.05</v>
      </c>
      <c r="C10" s="38" t="inlineStr">
        <is>
          <t>Estilo de vida</t>
        </is>
      </c>
      <c r="D10" s="2" t="n"/>
      <c r="E10" s="2" t="n"/>
      <c r="F10" s="2" t="n"/>
      <c r="G10" s="2" t="n"/>
      <c r="H10" s="2" t="n"/>
    </row>
    <row r="11">
      <c r="A11" s="36" t="inlineStr">
        <is>
          <t>Investimentos</t>
        </is>
      </c>
      <c r="B11" s="37" t="n">
        <v>0.15</v>
      </c>
      <c r="C11" s="38" t="inlineStr">
        <is>
          <t>Futuro</t>
        </is>
      </c>
      <c r="D11" s="2" t="n"/>
      <c r="E11" s="2" t="n"/>
      <c r="F11" s="2" t="n"/>
      <c r="G11" s="2" t="n"/>
      <c r="H11" s="2" t="n"/>
    </row>
    <row r="12">
      <c r="A12" s="36" t="inlineStr">
        <is>
          <t>Dívidas</t>
        </is>
      </c>
      <c r="B12" s="37" t="n">
        <v>0.1</v>
      </c>
      <c r="C12" s="38" t="inlineStr">
        <is>
          <t>Risco</t>
        </is>
      </c>
      <c r="D12" s="2" t="n"/>
      <c r="E12" s="2" t="n"/>
      <c r="F12" s="2" t="n"/>
      <c r="G12" s="2" t="n"/>
      <c r="H12" s="2" t="n"/>
    </row>
    <row r="13">
      <c r="A13" s="36" t="inlineStr">
        <is>
          <t>Outros</t>
        </is>
      </c>
      <c r="B13" s="37" t="n">
        <v>0.05</v>
      </c>
      <c r="C13" s="38" t="inlineStr">
        <is>
          <t>Estilo de vida</t>
        </is>
      </c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30" customWidth="1" min="3" max="3"/>
    <col width="12" customWidth="1" min="4" max="4"/>
    <col width="14" customWidth="1" min="5" max="5"/>
    <col width="16" customWidth="1" min="6" max="6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Lançamentos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Preencha aqui — o diagnóstico calcula sozinho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7" t="inlineStr">
        <is>
          <t>Data</t>
        </is>
      </c>
      <c r="B5" s="17" t="inlineStr">
        <is>
          <t>Categoria</t>
        </is>
      </c>
      <c r="C5" s="17" t="inlineStr">
        <is>
          <t>Descrição</t>
        </is>
      </c>
      <c r="D5" s="17" t="inlineStr">
        <is>
          <t>Tipo</t>
        </is>
      </c>
      <c r="E5" s="17" t="inlineStr">
        <is>
          <t>Valor</t>
        </is>
      </c>
      <c r="F5" s="17" t="inlineStr">
        <is>
          <t>Alerta teto</t>
        </is>
      </c>
      <c r="G5" s="2" t="n"/>
      <c r="H5" s="2" t="n"/>
    </row>
    <row r="6">
      <c r="A6" s="39" t="n">
        <v>46205</v>
      </c>
      <c r="B6" s="40" t="inlineStr">
        <is>
          <t>Entrada</t>
        </is>
      </c>
      <c r="C6" s="40" t="inlineStr">
        <is>
          <t>Salário</t>
        </is>
      </c>
      <c r="D6" s="40" t="inlineStr">
        <is>
          <t>Entrada</t>
        </is>
      </c>
      <c r="E6" s="41" t="n">
        <v>9200</v>
      </c>
      <c r="F6" s="40">
        <f>IF(D6&lt;&gt;"Saída","",IF(E6&gt;SUMIF($D$6:$D$205,"Entrada",$E$6:$E$205)*IFERROR(VLOOKUP(B6,CONFIG!$A$4:$B$13,2,0),1),"⚠ acima do teto","ok"))</f>
        <v/>
      </c>
      <c r="G6" s="2" t="n"/>
      <c r="H6" s="2" t="n"/>
    </row>
    <row r="7">
      <c r="A7" s="39" t="n">
        <v>46206</v>
      </c>
      <c r="B7" s="40" t="inlineStr">
        <is>
          <t>Moradia</t>
        </is>
      </c>
      <c r="C7" s="40" t="inlineStr">
        <is>
          <t>Aluguel + condomínio</t>
        </is>
      </c>
      <c r="D7" s="40" t="inlineStr">
        <is>
          <t>Saída</t>
        </is>
      </c>
      <c r="E7" s="41" t="n">
        <v>2450</v>
      </c>
      <c r="F7" s="40">
        <f>IF(D7&lt;&gt;"Saída","",IF(E7&gt;SUMIF($D$6:$D$205,"Entrada",$E$6:$E$205)*IFERROR(VLOOKUP(B7,CONFIG!$A$4:$B$13,2,0),1),"⚠ acima do teto","ok"))</f>
        <v/>
      </c>
      <c r="G7" s="2" t="n"/>
      <c r="H7" s="2" t="n"/>
    </row>
    <row r="8">
      <c r="A8" s="39" t="n">
        <v>46207</v>
      </c>
      <c r="B8" s="40" t="inlineStr">
        <is>
          <t>Alimentação</t>
        </is>
      </c>
      <c r="C8" s="40" t="inlineStr">
        <is>
          <t>Mercado do mês</t>
        </is>
      </c>
      <c r="D8" s="40" t="inlineStr">
        <is>
          <t>Saída</t>
        </is>
      </c>
      <c r="E8" s="41" t="n">
        <v>1180</v>
      </c>
      <c r="F8" s="40">
        <f>IF(D8&lt;&gt;"Saída","",IF(E8&gt;SUMIF($D$6:$D$205,"Entrada",$E$6:$E$205)*IFERROR(VLOOKUP(B8,CONFIG!$A$4:$B$13,2,0),1),"⚠ acima do teto","ok"))</f>
        <v/>
      </c>
      <c r="G8" s="2" t="n"/>
      <c r="H8" s="2" t="n"/>
    </row>
    <row r="9">
      <c r="A9" s="39" t="n">
        <v>46208</v>
      </c>
      <c r="B9" s="40" t="inlineStr">
        <is>
          <t>Assinaturas</t>
        </is>
      </c>
      <c r="C9" s="40" t="inlineStr">
        <is>
          <t>Softwares e streaming</t>
        </is>
      </c>
      <c r="D9" s="40" t="inlineStr">
        <is>
          <t>Saída</t>
        </is>
      </c>
      <c r="E9" s="41" t="n">
        <v>320</v>
      </c>
      <c r="F9" s="40">
        <f>IF(D9&lt;&gt;"Saída","",IF(E9&gt;SUMIF($D$6:$D$205,"Entrada",$E$6:$E$205)*IFERROR(VLOOKUP(B9,CONFIG!$A$4:$B$13,2,0),1),"⚠ acima do teto","ok"))</f>
        <v/>
      </c>
      <c r="G9" s="2" t="n"/>
      <c r="H9" s="2" t="n"/>
    </row>
    <row r="10">
      <c r="A10" s="39" t="n">
        <v>46209</v>
      </c>
      <c r="B10" s="40" t="inlineStr">
        <is>
          <t>Transporte</t>
        </is>
      </c>
      <c r="C10" s="40" t="inlineStr">
        <is>
          <t>Combustível + app</t>
        </is>
      </c>
      <c r="D10" s="40" t="inlineStr">
        <is>
          <t>Saída</t>
        </is>
      </c>
      <c r="E10" s="41" t="n">
        <v>560</v>
      </c>
      <c r="F10" s="40">
        <f>IF(D10&lt;&gt;"Saída","",IF(E10&gt;SUMIF($D$6:$D$205,"Entrada",$E$6:$E$205)*IFERROR(VLOOKUP(B10,CONFIG!$A$4:$B$13,2,0),1),"⚠ acima do teto","ok"))</f>
        <v/>
      </c>
      <c r="G10" s="2" t="n"/>
      <c r="H10" s="2" t="n"/>
    </row>
    <row r="11">
      <c r="A11" s="39" t="n">
        <v>46210</v>
      </c>
      <c r="B11" s="40" t="inlineStr">
        <is>
          <t>Entrada</t>
        </is>
      </c>
      <c r="C11" s="40" t="inlineStr">
        <is>
          <t>Freelance</t>
        </is>
      </c>
      <c r="D11" s="40" t="inlineStr">
        <is>
          <t>Entrada</t>
        </is>
      </c>
      <c r="E11" s="41" t="n">
        <v>2400</v>
      </c>
      <c r="F11" s="40">
        <f>IF(D11&lt;&gt;"Saída","",IF(E11&gt;SUMIF($D$6:$D$205,"Entrada",$E$6:$E$205)*IFERROR(VLOOKUP(B11,CONFIG!$A$4:$B$13,2,0),1),"⚠ acima do teto","ok"))</f>
        <v/>
      </c>
      <c r="G11" s="2" t="n"/>
      <c r="H11" s="2" t="n"/>
    </row>
    <row r="12">
      <c r="A12" s="39" t="n">
        <v>46211</v>
      </c>
      <c r="B12" s="40" t="inlineStr">
        <is>
          <t>Lazer</t>
        </is>
      </c>
      <c r="C12" s="40" t="inlineStr">
        <is>
          <t>Restaurantes</t>
        </is>
      </c>
      <c r="D12" s="40" t="inlineStr">
        <is>
          <t>Saída</t>
        </is>
      </c>
      <c r="E12" s="41" t="n">
        <v>680</v>
      </c>
      <c r="F12" s="40">
        <f>IF(D12&lt;&gt;"Saída","",IF(E12&gt;SUMIF($D$6:$D$205,"Entrada",$E$6:$E$205)*IFERROR(VLOOKUP(B12,CONFIG!$A$4:$B$13,2,0),1),"⚠ acima do teto","ok"))</f>
        <v/>
      </c>
      <c r="G12" s="2" t="n"/>
      <c r="H12" s="2" t="n"/>
    </row>
    <row r="13">
      <c r="A13" s="39" t="n">
        <v>46212</v>
      </c>
      <c r="B13" s="40" t="inlineStr">
        <is>
          <t>Saúde</t>
        </is>
      </c>
      <c r="C13" s="40" t="inlineStr">
        <is>
          <t>Plano + farmácia</t>
        </is>
      </c>
      <c r="D13" s="40" t="inlineStr">
        <is>
          <t>Saída</t>
        </is>
      </c>
      <c r="E13" s="41" t="n">
        <v>540</v>
      </c>
      <c r="F13" s="40">
        <f>IF(D13&lt;&gt;"Saída","",IF(E13&gt;SUMIF($D$6:$D$205,"Entrada",$E$6:$E$205)*IFERROR(VLOOKUP(B13,CONFIG!$A$4:$B$13,2,0),1),"⚠ acima do teto","ok"))</f>
        <v/>
      </c>
      <c r="G13" s="2" t="n"/>
      <c r="H13" s="2" t="n"/>
    </row>
    <row r="14">
      <c r="A14" s="39" t="n">
        <v>46214</v>
      </c>
      <c r="B14" s="40" t="inlineStr">
        <is>
          <t>Investimentos</t>
        </is>
      </c>
      <c r="C14" s="40" t="inlineStr">
        <is>
          <t>Aporte carteira</t>
        </is>
      </c>
      <c r="D14" s="40" t="inlineStr">
        <is>
          <t>Saída</t>
        </is>
      </c>
      <c r="E14" s="41" t="n">
        <v>1500</v>
      </c>
      <c r="F14" s="40">
        <f>IF(D14&lt;&gt;"Saída","",IF(E14&gt;SUMIF($D$6:$D$205,"Entrada",$E$6:$E$205)*IFERROR(VLOOKUP(B14,CONFIG!$A$4:$B$13,2,0),1),"⚠ acima do teto","ok"))</f>
        <v/>
      </c>
      <c r="G14" s="2" t="n"/>
      <c r="H14" s="2" t="n"/>
    </row>
    <row r="15">
      <c r="A15" s="39" t="n">
        <v>46216</v>
      </c>
      <c r="B15" s="40" t="inlineStr">
        <is>
          <t>Dívidas</t>
        </is>
      </c>
      <c r="C15" s="40" t="inlineStr">
        <is>
          <t>Cartão parcelado</t>
        </is>
      </c>
      <c r="D15" s="40" t="inlineStr">
        <is>
          <t>Saída</t>
        </is>
      </c>
      <c r="E15" s="41" t="n">
        <v>900</v>
      </c>
      <c r="F15" s="40">
        <f>IF(D15&lt;&gt;"Saída","",IF(E15&gt;SUMIF($D$6:$D$205,"Entrada",$E$6:$E$205)*IFERROR(VLOOKUP(B15,CONFIG!$A$4:$B$13,2,0),1),"⚠ acima do teto","ok"))</f>
        <v/>
      </c>
      <c r="G15" s="2" t="n"/>
      <c r="H15" s="2" t="n"/>
    </row>
    <row r="16">
      <c r="A16" s="39" t="n"/>
      <c r="B16" s="40" t="n"/>
      <c r="C16" s="40" t="n"/>
      <c r="D16" s="40" t="n"/>
      <c r="E16" s="41" t="n"/>
      <c r="F16" s="40">
        <f>IF(D16&lt;&gt;"Saída","",IF(E16&gt;SUMIF($D$6:$D$205,"Entrada",$E$6:$E$205)*IFERROR(VLOOKUP(B16,CONFIG!$A$4:$B$13,2,0),1),"⚠ acima do teto","ok"))</f>
        <v/>
      </c>
      <c r="G16" s="2" t="n"/>
      <c r="H16" s="2" t="n"/>
    </row>
    <row r="17">
      <c r="A17" s="39" t="n"/>
      <c r="B17" s="40" t="n"/>
      <c r="C17" s="40" t="n"/>
      <c r="D17" s="40" t="n"/>
      <c r="E17" s="41" t="n"/>
      <c r="F17" s="40">
        <f>IF(D17&lt;&gt;"Saída","",IF(E17&gt;SUMIF($D$6:$D$205,"Entrada",$E$6:$E$205)*IFERROR(VLOOKUP(B17,CONFIG!$A$4:$B$13,2,0),1),"⚠ acima do teto","ok"))</f>
        <v/>
      </c>
      <c r="G17" s="2" t="n"/>
      <c r="H17" s="2" t="n"/>
    </row>
    <row r="18">
      <c r="A18" s="39" t="n"/>
      <c r="B18" s="40" t="n"/>
      <c r="C18" s="40" t="n"/>
      <c r="D18" s="40" t="n"/>
      <c r="E18" s="41" t="n"/>
      <c r="F18" s="40">
        <f>IF(D18&lt;&gt;"Saída","",IF(E18&gt;SUMIF($D$6:$D$205,"Entrada",$E$6:$E$205)*IFERROR(VLOOKUP(B18,CONFIG!$A$4:$B$13,2,0),1),"⚠ acima do teto","ok"))</f>
        <v/>
      </c>
      <c r="G18" s="2" t="n"/>
      <c r="H18" s="2" t="n"/>
    </row>
    <row r="19">
      <c r="A19" s="39" t="n"/>
      <c r="B19" s="40" t="n"/>
      <c r="C19" s="40" t="n"/>
      <c r="D19" s="40" t="n"/>
      <c r="E19" s="41" t="n"/>
      <c r="F19" s="40">
        <f>IF(D19&lt;&gt;"Saída","",IF(E19&gt;SUMIF($D$6:$D$205,"Entrada",$E$6:$E$205)*IFERROR(VLOOKUP(B19,CONFIG!$A$4:$B$13,2,0),1),"⚠ acima do teto","ok"))</f>
        <v/>
      </c>
      <c r="G19" s="2" t="n"/>
      <c r="H19" s="2" t="n"/>
    </row>
    <row r="20">
      <c r="A20" s="39" t="n"/>
      <c r="B20" s="40" t="n"/>
      <c r="C20" s="40" t="n"/>
      <c r="D20" s="40" t="n"/>
      <c r="E20" s="41" t="n"/>
      <c r="F20" s="40">
        <f>IF(D20&lt;&gt;"Saída","",IF(E20&gt;SUMIF($D$6:$D$205,"Entrada",$E$6:$E$205)*IFERROR(VLOOKUP(B20,CONFIG!$A$4:$B$13,2,0),1),"⚠ acima do teto","ok"))</f>
        <v/>
      </c>
      <c r="G20" s="2" t="n"/>
      <c r="H20" s="2" t="n"/>
    </row>
    <row r="21">
      <c r="A21" s="39" t="n"/>
      <c r="B21" s="40" t="n"/>
      <c r="C21" s="40" t="n"/>
      <c r="D21" s="40" t="n"/>
      <c r="E21" s="41" t="n"/>
      <c r="F21" s="40">
        <f>IF(D21&lt;&gt;"Saída","",IF(E21&gt;SUMIF($D$6:$D$205,"Entrada",$E$6:$E$205)*IFERROR(VLOOKUP(B21,CONFIG!$A$4:$B$13,2,0),1),"⚠ acima do teto","ok"))</f>
        <v/>
      </c>
      <c r="G21" s="2" t="n"/>
      <c r="H21" s="2" t="n"/>
    </row>
    <row r="22">
      <c r="A22" s="39" t="n"/>
      <c r="B22" s="40" t="n"/>
      <c r="C22" s="40" t="n"/>
      <c r="D22" s="40" t="n"/>
      <c r="E22" s="41" t="n"/>
      <c r="F22" s="40">
        <f>IF(D22&lt;&gt;"Saída","",IF(E22&gt;SUMIF($D$6:$D$205,"Entrada",$E$6:$E$205)*IFERROR(VLOOKUP(B22,CONFIG!$A$4:$B$13,2,0),1),"⚠ acima do teto","ok"))</f>
        <v/>
      </c>
      <c r="G22" s="2" t="n"/>
      <c r="H22" s="2" t="n"/>
    </row>
    <row r="23">
      <c r="A23" s="39" t="n"/>
      <c r="B23" s="40" t="n"/>
      <c r="C23" s="40" t="n"/>
      <c r="D23" s="40" t="n"/>
      <c r="E23" s="41" t="n"/>
      <c r="F23" s="40">
        <f>IF(D23&lt;&gt;"Saída","",IF(E23&gt;SUMIF($D$6:$D$205,"Entrada",$E$6:$E$205)*IFERROR(VLOOKUP(B23,CONFIG!$A$4:$B$13,2,0),1),"⚠ acima do teto","ok"))</f>
        <v/>
      </c>
      <c r="G23" s="2" t="n"/>
      <c r="H23" s="2" t="n"/>
    </row>
    <row r="24">
      <c r="A24" s="39" t="n"/>
      <c r="B24" s="40" t="n"/>
      <c r="C24" s="40" t="n"/>
      <c r="D24" s="40" t="n"/>
      <c r="E24" s="41" t="n"/>
      <c r="F24" s="40">
        <f>IF(D24&lt;&gt;"Saída","",IF(E24&gt;SUMIF($D$6:$D$205,"Entrada",$E$6:$E$205)*IFERROR(VLOOKUP(B24,CONFIG!$A$4:$B$13,2,0),1),"⚠ acima do teto","ok"))</f>
        <v/>
      </c>
      <c r="G24" s="2" t="n"/>
      <c r="H24" s="2" t="n"/>
    </row>
    <row r="25">
      <c r="A25" s="39" t="n"/>
      <c r="B25" s="40" t="n"/>
      <c r="C25" s="40" t="n"/>
      <c r="D25" s="40" t="n"/>
      <c r="E25" s="41" t="n"/>
      <c r="F25" s="40">
        <f>IF(D25&lt;&gt;"Saída","",IF(E25&gt;SUMIF($D$6:$D$205,"Entrada",$E$6:$E$205)*IFERROR(VLOOKUP(B25,CONFIG!$A$4:$B$13,2,0),1),"⚠ acima do teto","ok"))</f>
        <v/>
      </c>
      <c r="G25" s="2" t="n"/>
      <c r="H25" s="2" t="n"/>
    </row>
    <row r="26">
      <c r="A26" s="39" t="n"/>
      <c r="B26" s="40" t="n"/>
      <c r="C26" s="40" t="n"/>
      <c r="D26" s="40" t="n"/>
      <c r="E26" s="41" t="n"/>
      <c r="F26" s="40">
        <f>IF(D26&lt;&gt;"Saída","",IF(E26&gt;SUMIF($D$6:$D$205,"Entrada",$E$6:$E$205)*IFERROR(VLOOKUP(B26,CONFIG!$A$4:$B$13,2,0),1),"⚠ acima do teto","ok"))</f>
        <v/>
      </c>
      <c r="G26" s="2" t="n"/>
      <c r="H26" s="2" t="n"/>
    </row>
    <row r="27">
      <c r="A27" s="39" t="n"/>
      <c r="B27" s="40" t="n"/>
      <c r="C27" s="40" t="n"/>
      <c r="D27" s="40" t="n"/>
      <c r="E27" s="41" t="n"/>
      <c r="F27" s="40">
        <f>IF(D27&lt;&gt;"Saída","",IF(E27&gt;SUMIF($D$6:$D$205,"Entrada",$E$6:$E$205)*IFERROR(VLOOKUP(B27,CONFIG!$A$4:$B$13,2,0),1),"⚠ acima do teto","ok"))</f>
        <v/>
      </c>
      <c r="G27" s="2" t="n"/>
      <c r="H27" s="2" t="n"/>
    </row>
    <row r="28">
      <c r="A28" s="39" t="n"/>
      <c r="B28" s="40" t="n"/>
      <c r="C28" s="40" t="n"/>
      <c r="D28" s="40" t="n"/>
      <c r="E28" s="41" t="n"/>
      <c r="F28" s="40">
        <f>IF(D28&lt;&gt;"Saída","",IF(E28&gt;SUMIF($D$6:$D$205,"Entrada",$E$6:$E$205)*IFERROR(VLOOKUP(B28,CONFIG!$A$4:$B$13,2,0),1),"⚠ acima do teto","ok"))</f>
        <v/>
      </c>
      <c r="G28" s="2" t="n"/>
      <c r="H28" s="2" t="n"/>
    </row>
    <row r="29">
      <c r="A29" s="39" t="n"/>
      <c r="B29" s="40" t="n"/>
      <c r="C29" s="40" t="n"/>
      <c r="D29" s="40" t="n"/>
      <c r="E29" s="41" t="n"/>
      <c r="F29" s="40">
        <f>IF(D29&lt;&gt;"Saída","",IF(E29&gt;SUMIF($D$6:$D$205,"Entrada",$E$6:$E$205)*IFERROR(VLOOKUP(B29,CONFIG!$A$4:$B$13,2,0),1),"⚠ acima do teto","ok"))</f>
        <v/>
      </c>
      <c r="G29" s="2" t="n"/>
      <c r="H29" s="2" t="n"/>
    </row>
    <row r="30">
      <c r="A30" s="39" t="n"/>
      <c r="B30" s="40" t="n"/>
      <c r="C30" s="40" t="n"/>
      <c r="D30" s="40" t="n"/>
      <c r="E30" s="41" t="n"/>
      <c r="F30" s="40">
        <f>IF(D30&lt;&gt;"Saída","",IF(E30&gt;SUMIF($D$6:$D$205,"Entrada",$E$6:$E$205)*IFERROR(VLOOKUP(B30,CONFIG!$A$4:$B$13,2,0),1),"⚠ acima do teto","ok"))</f>
        <v/>
      </c>
      <c r="G30" s="2" t="n"/>
      <c r="H30" s="2" t="n"/>
    </row>
    <row r="31">
      <c r="A31" s="39" t="n"/>
      <c r="B31" s="40" t="n"/>
      <c r="C31" s="40" t="n"/>
      <c r="D31" s="40" t="n"/>
      <c r="E31" s="41" t="n"/>
      <c r="F31" s="40">
        <f>IF(D31&lt;&gt;"Saída","",IF(E31&gt;SUMIF($D$6:$D$205,"Entrada",$E$6:$E$205)*IFERROR(VLOOKUP(B31,CONFIG!$A$4:$B$13,2,0),1),"⚠ acima do teto","ok"))</f>
        <v/>
      </c>
      <c r="G31" s="2" t="n"/>
      <c r="H31" s="2" t="n"/>
    </row>
    <row r="32">
      <c r="A32" s="39" t="n"/>
      <c r="B32" s="40" t="n"/>
      <c r="C32" s="40" t="n"/>
      <c r="D32" s="40" t="n"/>
      <c r="E32" s="41" t="n"/>
      <c r="F32" s="40">
        <f>IF(D32&lt;&gt;"Saída","",IF(E32&gt;SUMIF($D$6:$D$205,"Entrada",$E$6:$E$205)*IFERROR(VLOOKUP(B32,CONFIG!$A$4:$B$13,2,0),1),"⚠ acima do teto","ok"))</f>
        <v/>
      </c>
      <c r="G32" s="2" t="n"/>
      <c r="H32" s="2" t="n"/>
    </row>
    <row r="33">
      <c r="A33" s="39" t="n"/>
      <c r="B33" s="40" t="n"/>
      <c r="C33" s="40" t="n"/>
      <c r="D33" s="40" t="n"/>
      <c r="E33" s="41" t="n"/>
      <c r="F33" s="40">
        <f>IF(D33&lt;&gt;"Saída","",IF(E33&gt;SUMIF($D$6:$D$205,"Entrada",$E$6:$E$205)*IFERROR(VLOOKUP(B33,CONFIG!$A$4:$B$13,2,0),1),"⚠ acima do teto","ok"))</f>
        <v/>
      </c>
      <c r="G33" s="2" t="n"/>
      <c r="H33" s="2" t="n"/>
    </row>
    <row r="34">
      <c r="A34" s="39" t="n"/>
      <c r="B34" s="40" t="n"/>
      <c r="C34" s="40" t="n"/>
      <c r="D34" s="40" t="n"/>
      <c r="E34" s="41" t="n"/>
      <c r="F34" s="40">
        <f>IF(D34&lt;&gt;"Saída","",IF(E34&gt;SUMIF($D$6:$D$205,"Entrada",$E$6:$E$205)*IFERROR(VLOOKUP(B34,CONFIG!$A$4:$B$13,2,0),1),"⚠ acima do teto","ok"))</f>
        <v/>
      </c>
      <c r="G34" s="2" t="n"/>
      <c r="H34" s="2" t="n"/>
    </row>
    <row r="35">
      <c r="A35" s="39" t="n"/>
      <c r="B35" s="40" t="n"/>
      <c r="C35" s="40" t="n"/>
      <c r="D35" s="40" t="n"/>
      <c r="E35" s="41" t="n"/>
      <c r="F35" s="40">
        <f>IF(D35&lt;&gt;"Saída","",IF(E35&gt;SUMIF($D$6:$D$205,"Entrada",$E$6:$E$205)*IFERROR(VLOOKUP(B35,CONFIG!$A$4:$B$13,2,0),1),"⚠ acima do teto","ok"))</f>
        <v/>
      </c>
      <c r="G35" s="2" t="n"/>
      <c r="H35" s="2" t="n"/>
    </row>
    <row r="36">
      <c r="A36" s="39" t="n"/>
      <c r="B36" s="40" t="n"/>
      <c r="C36" s="40" t="n"/>
      <c r="D36" s="40" t="n"/>
      <c r="E36" s="41" t="n"/>
      <c r="F36" s="40">
        <f>IF(D36&lt;&gt;"Saída","",IF(E36&gt;SUMIF($D$6:$D$205,"Entrada",$E$6:$E$205)*IFERROR(VLOOKUP(B36,CONFIG!$A$4:$B$13,2,0),1),"⚠ acima do teto","ok"))</f>
        <v/>
      </c>
      <c r="G36" s="2" t="n"/>
      <c r="H36" s="2" t="n"/>
    </row>
    <row r="37">
      <c r="A37" s="39" t="n"/>
      <c r="B37" s="40" t="n"/>
      <c r="C37" s="40" t="n"/>
      <c r="D37" s="40" t="n"/>
      <c r="E37" s="41" t="n"/>
      <c r="F37" s="40">
        <f>IF(D37&lt;&gt;"Saída","",IF(E37&gt;SUMIF($D$6:$D$205,"Entrada",$E$6:$E$205)*IFERROR(VLOOKUP(B37,CONFIG!$A$4:$B$13,2,0),1),"⚠ acima do teto","ok"))</f>
        <v/>
      </c>
      <c r="G37" s="2" t="n"/>
      <c r="H37" s="2" t="n"/>
    </row>
    <row r="38">
      <c r="A38" s="39" t="n"/>
      <c r="B38" s="40" t="n"/>
      <c r="C38" s="40" t="n"/>
      <c r="D38" s="40" t="n"/>
      <c r="E38" s="41" t="n"/>
      <c r="F38" s="40">
        <f>IF(D38&lt;&gt;"Saída","",IF(E38&gt;SUMIF($D$6:$D$205,"Entrada",$E$6:$E$205)*IFERROR(VLOOKUP(B38,CONFIG!$A$4:$B$13,2,0),1),"⚠ acima do teto","ok"))</f>
        <v/>
      </c>
      <c r="G38" s="2" t="n"/>
      <c r="H38" s="2" t="n"/>
    </row>
    <row r="39">
      <c r="A39" s="39" t="n"/>
      <c r="B39" s="40" t="n"/>
      <c r="C39" s="40" t="n"/>
      <c r="D39" s="40" t="n"/>
      <c r="E39" s="41" t="n"/>
      <c r="F39" s="40">
        <f>IF(D39&lt;&gt;"Saída","",IF(E39&gt;SUMIF($D$6:$D$205,"Entrada",$E$6:$E$205)*IFERROR(VLOOKUP(B39,CONFIG!$A$4:$B$13,2,0),1),"⚠ acima do teto","ok"))</f>
        <v/>
      </c>
      <c r="G39" s="2" t="n"/>
      <c r="H39" s="2" t="n"/>
    </row>
    <row r="40">
      <c r="A40" s="39" t="n"/>
      <c r="B40" s="40" t="n"/>
      <c r="C40" s="40" t="n"/>
      <c r="D40" s="40" t="n"/>
      <c r="E40" s="41" t="n"/>
      <c r="F40" s="40">
        <f>IF(D40&lt;&gt;"Saída","",IF(E40&gt;SUMIF($D$6:$D$205,"Entrada",$E$6:$E$205)*IFERROR(VLOOKUP(B40,CONFIG!$A$4:$B$13,2,0),1),"⚠ acima do teto","ok"))</f>
        <v/>
      </c>
      <c r="G40" s="2" t="n"/>
      <c r="H40" s="2" t="n"/>
    </row>
    <row r="41">
      <c r="A41" s="39" t="n"/>
      <c r="B41" s="40" t="n"/>
      <c r="C41" s="40" t="n"/>
      <c r="D41" s="40" t="n"/>
      <c r="E41" s="41" t="n"/>
      <c r="F41" s="40">
        <f>IF(D41&lt;&gt;"Saída","",IF(E41&gt;SUMIF($D$6:$D$205,"Entrada",$E$6:$E$205)*IFERROR(VLOOKUP(B41,CONFIG!$A$4:$B$13,2,0),1),"⚠ acima do teto","ok"))</f>
        <v/>
      </c>
      <c r="G41" s="2" t="n"/>
      <c r="H41" s="2" t="n"/>
    </row>
    <row r="42">
      <c r="A42" s="39" t="n"/>
      <c r="B42" s="40" t="n"/>
      <c r="C42" s="40" t="n"/>
      <c r="D42" s="40" t="n"/>
      <c r="E42" s="41" t="n"/>
      <c r="F42" s="40">
        <f>IF(D42&lt;&gt;"Saída","",IF(E42&gt;SUMIF($D$6:$D$205,"Entrada",$E$6:$E$205)*IFERROR(VLOOKUP(B42,CONFIG!$A$4:$B$13,2,0),1),"⚠ acima do teto","ok"))</f>
        <v/>
      </c>
      <c r="G42" s="2" t="n"/>
      <c r="H42" s="2" t="n"/>
    </row>
    <row r="43">
      <c r="A43" s="39" t="n"/>
      <c r="B43" s="40" t="n"/>
      <c r="C43" s="40" t="n"/>
      <c r="D43" s="40" t="n"/>
      <c r="E43" s="41" t="n"/>
      <c r="F43" s="40">
        <f>IF(D43&lt;&gt;"Saída","",IF(E43&gt;SUMIF($D$6:$D$205,"Entrada",$E$6:$E$205)*IFERROR(VLOOKUP(B43,CONFIG!$A$4:$B$13,2,0),1),"⚠ acima do teto","ok"))</f>
        <v/>
      </c>
      <c r="G43" s="2" t="n"/>
      <c r="H43" s="2" t="n"/>
    </row>
    <row r="44">
      <c r="A44" s="39" t="n"/>
      <c r="B44" s="40" t="n"/>
      <c r="C44" s="40" t="n"/>
      <c r="D44" s="40" t="n"/>
      <c r="E44" s="41" t="n"/>
      <c r="F44" s="40">
        <f>IF(D44&lt;&gt;"Saída","",IF(E44&gt;SUMIF($D$6:$D$205,"Entrada",$E$6:$E$205)*IFERROR(VLOOKUP(B44,CONFIG!$A$4:$B$13,2,0),1),"⚠ acima do teto","ok"))</f>
        <v/>
      </c>
      <c r="G44" s="2" t="n"/>
      <c r="H44" s="2" t="n"/>
    </row>
    <row r="45">
      <c r="A45" s="39" t="n"/>
      <c r="B45" s="40" t="n"/>
      <c r="C45" s="40" t="n"/>
      <c r="D45" s="40" t="n"/>
      <c r="E45" s="41" t="n"/>
      <c r="F45" s="40">
        <f>IF(D45&lt;&gt;"Saída","",IF(E45&gt;SUMIF($D$6:$D$205,"Entrada",$E$6:$E$205)*IFERROR(VLOOKUP(B45,CONFIG!$A$4:$B$13,2,0),1),"⚠ acima do teto","ok"))</f>
        <v/>
      </c>
      <c r="G45" s="2" t="n"/>
      <c r="H45" s="2" t="n"/>
    </row>
    <row r="46">
      <c r="A46" s="39" t="n"/>
      <c r="B46" s="40" t="n"/>
      <c r="C46" s="40" t="n"/>
      <c r="D46" s="40" t="n"/>
      <c r="E46" s="41" t="n"/>
      <c r="F46" s="40">
        <f>IF(D46&lt;&gt;"Saída","",IF(E46&gt;SUMIF($D$6:$D$205,"Entrada",$E$6:$E$205)*IFERROR(VLOOKUP(B46,CONFIG!$A$4:$B$13,2,0),1),"⚠ acima do teto","ok"))</f>
        <v/>
      </c>
      <c r="G46" s="2" t="n"/>
      <c r="H46" s="2" t="n"/>
    </row>
    <row r="47">
      <c r="A47" s="39" t="n"/>
      <c r="B47" s="40" t="n"/>
      <c r="C47" s="40" t="n"/>
      <c r="D47" s="40" t="n"/>
      <c r="E47" s="41" t="n"/>
      <c r="F47" s="40">
        <f>IF(D47&lt;&gt;"Saída","",IF(E47&gt;SUMIF($D$6:$D$205,"Entrada",$E$6:$E$205)*IFERROR(VLOOKUP(B47,CONFIG!$A$4:$B$13,2,0),1),"⚠ acima do teto","ok"))</f>
        <v/>
      </c>
      <c r="G47" s="2" t="n"/>
      <c r="H47" s="2" t="n"/>
    </row>
    <row r="48">
      <c r="A48" s="39" t="n"/>
      <c r="B48" s="40" t="n"/>
      <c r="C48" s="40" t="n"/>
      <c r="D48" s="40" t="n"/>
      <c r="E48" s="41" t="n"/>
      <c r="F48" s="40">
        <f>IF(D48&lt;&gt;"Saída","",IF(E48&gt;SUMIF($D$6:$D$205,"Entrada",$E$6:$E$205)*IFERROR(VLOOKUP(B48,CONFIG!$A$4:$B$13,2,0),1),"⚠ acima do teto","ok"))</f>
        <v/>
      </c>
      <c r="G48" s="2" t="n"/>
      <c r="H48" s="2" t="n"/>
    </row>
    <row r="49">
      <c r="A49" s="39" t="n"/>
      <c r="B49" s="40" t="n"/>
      <c r="C49" s="40" t="n"/>
      <c r="D49" s="40" t="n"/>
      <c r="E49" s="41" t="n"/>
      <c r="F49" s="40">
        <f>IF(D49&lt;&gt;"Saída","",IF(E49&gt;SUMIF($D$6:$D$205,"Entrada",$E$6:$E$205)*IFERROR(VLOOKUP(B49,CONFIG!$A$4:$B$13,2,0),1),"⚠ acima do teto","ok"))</f>
        <v/>
      </c>
      <c r="G49" s="2" t="n"/>
      <c r="H49" s="2" t="n"/>
    </row>
    <row r="50">
      <c r="A50" s="39" t="n"/>
      <c r="B50" s="40" t="n"/>
      <c r="C50" s="40" t="n"/>
      <c r="D50" s="40" t="n"/>
      <c r="E50" s="41" t="n"/>
      <c r="F50" s="40">
        <f>IF(D50&lt;&gt;"Saída","",IF(E50&gt;SUMIF($D$6:$D$205,"Entrada",$E$6:$E$205)*IFERROR(VLOOKUP(B50,CONFIG!$A$4:$B$13,2,0),1),"⚠ acima do teto","ok"))</f>
        <v/>
      </c>
      <c r="G50" s="2" t="n"/>
      <c r="H50" s="2" t="n"/>
    </row>
    <row r="51">
      <c r="A51" s="39" t="n"/>
      <c r="B51" s="40" t="n"/>
      <c r="C51" s="40" t="n"/>
      <c r="D51" s="40" t="n"/>
      <c r="E51" s="41" t="n"/>
      <c r="F51" s="40">
        <f>IF(D51&lt;&gt;"Saída","",IF(E51&gt;SUMIF($D$6:$D$205,"Entrada",$E$6:$E$205)*IFERROR(VLOOKUP(B51,CONFIG!$A$4:$B$13,2,0),1),"⚠ acima do teto","ok"))</f>
        <v/>
      </c>
      <c r="G51" s="2" t="n"/>
      <c r="H51" s="2" t="n"/>
    </row>
    <row r="52">
      <c r="A52" s="39" t="n"/>
      <c r="B52" s="40" t="n"/>
      <c r="C52" s="40" t="n"/>
      <c r="D52" s="40" t="n"/>
      <c r="E52" s="41" t="n"/>
      <c r="F52" s="40">
        <f>IF(D52&lt;&gt;"Saída","",IF(E52&gt;SUMIF($D$6:$D$205,"Entrada",$E$6:$E$205)*IFERROR(VLOOKUP(B52,CONFIG!$A$4:$B$13,2,0),1),"⚠ acima do teto","ok"))</f>
        <v/>
      </c>
      <c r="G52" s="2" t="n"/>
      <c r="H52" s="2" t="n"/>
    </row>
    <row r="53">
      <c r="A53" s="39" t="n"/>
      <c r="B53" s="40" t="n"/>
      <c r="C53" s="40" t="n"/>
      <c r="D53" s="40" t="n"/>
      <c r="E53" s="41" t="n"/>
      <c r="F53" s="40">
        <f>IF(D53&lt;&gt;"Saída","",IF(E53&gt;SUMIF($D$6:$D$205,"Entrada",$E$6:$E$205)*IFERROR(VLOOKUP(B53,CONFIG!$A$4:$B$13,2,0),1),"⚠ acima do teto","ok"))</f>
        <v/>
      </c>
      <c r="G53" s="2" t="n"/>
      <c r="H53" s="2" t="n"/>
    </row>
    <row r="54">
      <c r="A54" s="39" t="n"/>
      <c r="B54" s="40" t="n"/>
      <c r="C54" s="40" t="n"/>
      <c r="D54" s="40" t="n"/>
      <c r="E54" s="41" t="n"/>
      <c r="F54" s="40">
        <f>IF(D54&lt;&gt;"Saída","",IF(E54&gt;SUMIF($D$6:$D$205,"Entrada",$E$6:$E$205)*IFERROR(VLOOKUP(B54,CONFIG!$A$4:$B$13,2,0),1),"⚠ acima do teto","ok"))</f>
        <v/>
      </c>
      <c r="G54" s="2" t="n"/>
      <c r="H54" s="2" t="n"/>
    </row>
    <row r="55">
      <c r="A55" s="39" t="n"/>
      <c r="B55" s="40" t="n"/>
      <c r="C55" s="40" t="n"/>
      <c r="D55" s="40" t="n"/>
      <c r="E55" s="41" t="n"/>
      <c r="F55" s="40">
        <f>IF(D55&lt;&gt;"Saída","",IF(E55&gt;SUMIF($D$6:$D$205,"Entrada",$E$6:$E$205)*IFERROR(VLOOKUP(B55,CONFIG!$A$4:$B$13,2,0),1),"⚠ acima do teto","ok"))</f>
        <v/>
      </c>
      <c r="G55" s="2" t="n"/>
      <c r="H55" s="2" t="n"/>
    </row>
    <row r="56">
      <c r="A56" s="39" t="n"/>
      <c r="B56" s="40" t="n"/>
      <c r="C56" s="40" t="n"/>
      <c r="D56" s="40" t="n"/>
      <c r="E56" s="41" t="n"/>
      <c r="F56" s="40">
        <f>IF(D56&lt;&gt;"Saída","",IF(E56&gt;SUMIF($D$6:$D$205,"Entrada",$E$6:$E$205)*IFERROR(VLOOKUP(B56,CONFIG!$A$4:$B$13,2,0),1),"⚠ acima do teto","ok"))</f>
        <v/>
      </c>
      <c r="G56" s="2" t="n"/>
      <c r="H56" s="2" t="n"/>
    </row>
    <row r="57">
      <c r="A57" s="39" t="n"/>
      <c r="B57" s="40" t="n"/>
      <c r="C57" s="40" t="n"/>
      <c r="D57" s="40" t="n"/>
      <c r="E57" s="41" t="n"/>
      <c r="F57" s="40">
        <f>IF(D57&lt;&gt;"Saída","",IF(E57&gt;SUMIF($D$6:$D$205,"Entrada",$E$6:$E$205)*IFERROR(VLOOKUP(B57,CONFIG!$A$4:$B$13,2,0),1),"⚠ acima do teto","ok"))</f>
        <v/>
      </c>
      <c r="G57" s="2" t="n"/>
      <c r="H57" s="2" t="n"/>
    </row>
    <row r="58">
      <c r="A58" s="39" t="n"/>
      <c r="B58" s="40" t="n"/>
      <c r="C58" s="40" t="n"/>
      <c r="D58" s="40" t="n"/>
      <c r="E58" s="41" t="n"/>
      <c r="F58" s="40">
        <f>IF(D58&lt;&gt;"Saída","",IF(E58&gt;SUMIF($D$6:$D$205,"Entrada",$E$6:$E$205)*IFERROR(VLOOKUP(B58,CONFIG!$A$4:$B$13,2,0),1),"⚠ acima do teto","ok"))</f>
        <v/>
      </c>
      <c r="G58" s="2" t="n"/>
      <c r="H58" s="2" t="n"/>
    </row>
    <row r="59">
      <c r="A59" s="39" t="n"/>
      <c r="B59" s="40" t="n"/>
      <c r="C59" s="40" t="n"/>
      <c r="D59" s="40" t="n"/>
      <c r="E59" s="41" t="n"/>
      <c r="F59" s="40">
        <f>IF(D59&lt;&gt;"Saída","",IF(E59&gt;SUMIF($D$6:$D$205,"Entrada",$E$6:$E$205)*IFERROR(VLOOKUP(B59,CONFIG!$A$4:$B$13,2,0),1),"⚠ acima do teto","ok"))</f>
        <v/>
      </c>
      <c r="G59" s="2" t="n"/>
      <c r="H59" s="2" t="n"/>
    </row>
    <row r="60">
      <c r="A60" s="39" t="n"/>
      <c r="B60" s="40" t="n"/>
      <c r="C60" s="40" t="n"/>
      <c r="D60" s="40" t="n"/>
      <c r="E60" s="41" t="n"/>
      <c r="F60" s="40">
        <f>IF(D60&lt;&gt;"Saída","",IF(E60&gt;SUMIF($D$6:$D$205,"Entrada",$E$6:$E$205)*IFERROR(VLOOKUP(B60,CONFIG!$A$4:$B$13,2,0),1),"⚠ acima do teto","ok"))</f>
        <v/>
      </c>
      <c r="G60" s="2" t="n"/>
      <c r="H60" s="2" t="n"/>
    </row>
    <row r="61">
      <c r="A61" s="39" t="n"/>
      <c r="B61" s="40" t="n"/>
      <c r="C61" s="40" t="n"/>
      <c r="D61" s="40" t="n"/>
      <c r="E61" s="41" t="n"/>
      <c r="F61" s="40">
        <f>IF(D61&lt;&gt;"Saída","",IF(E61&gt;SUMIF($D$6:$D$205,"Entrada",$E$6:$E$205)*IFERROR(VLOOKUP(B61,CONFIG!$A$4:$B$13,2,0),1),"⚠ acima do teto","ok"))</f>
        <v/>
      </c>
      <c r="G61" s="2" t="n"/>
      <c r="H61" s="2" t="n"/>
    </row>
    <row r="62">
      <c r="A62" s="39" t="n"/>
      <c r="B62" s="40" t="n"/>
      <c r="C62" s="40" t="n"/>
      <c r="D62" s="40" t="n"/>
      <c r="E62" s="41" t="n"/>
      <c r="F62" s="40">
        <f>IF(D62&lt;&gt;"Saída","",IF(E62&gt;SUMIF($D$6:$D$205,"Entrada",$E$6:$E$205)*IFERROR(VLOOKUP(B62,CONFIG!$A$4:$B$13,2,0),1),"⚠ acima do teto","ok"))</f>
        <v/>
      </c>
      <c r="G62" s="2" t="n"/>
      <c r="H62" s="2" t="n"/>
    </row>
    <row r="63">
      <c r="A63" s="39" t="n"/>
      <c r="B63" s="40" t="n"/>
      <c r="C63" s="40" t="n"/>
      <c r="D63" s="40" t="n"/>
      <c r="E63" s="41" t="n"/>
      <c r="F63" s="40">
        <f>IF(D63&lt;&gt;"Saída","",IF(E63&gt;SUMIF($D$6:$D$205,"Entrada",$E$6:$E$205)*IFERROR(VLOOKUP(B63,CONFIG!$A$4:$B$13,2,0),1),"⚠ acima do teto","ok"))</f>
        <v/>
      </c>
      <c r="G63" s="2" t="n"/>
      <c r="H63" s="2" t="n"/>
    </row>
    <row r="64">
      <c r="A64" s="39" t="n"/>
      <c r="B64" s="40" t="n"/>
      <c r="C64" s="40" t="n"/>
      <c r="D64" s="40" t="n"/>
      <c r="E64" s="41" t="n"/>
      <c r="F64" s="40">
        <f>IF(D64&lt;&gt;"Saída","",IF(E64&gt;SUMIF($D$6:$D$205,"Entrada",$E$6:$E$205)*IFERROR(VLOOKUP(B64,CONFIG!$A$4:$B$13,2,0),1),"⚠ acima do teto","ok"))</f>
        <v/>
      </c>
      <c r="G64" s="2" t="n"/>
      <c r="H64" s="2" t="n"/>
    </row>
    <row r="65">
      <c r="A65" s="39" t="n"/>
      <c r="B65" s="40" t="n"/>
      <c r="C65" s="40" t="n"/>
      <c r="D65" s="40" t="n"/>
      <c r="E65" s="41" t="n"/>
      <c r="F65" s="40">
        <f>IF(D65&lt;&gt;"Saída","",IF(E65&gt;SUMIF($D$6:$D$205,"Entrada",$E$6:$E$205)*IFERROR(VLOOKUP(B65,CONFIG!$A$4:$B$13,2,0),1),"⚠ acima do teto","ok"))</f>
        <v/>
      </c>
      <c r="G65" s="2" t="n"/>
      <c r="H65" s="2" t="n"/>
    </row>
    <row r="66">
      <c r="A66" s="39" t="n"/>
      <c r="B66" s="40" t="n"/>
      <c r="C66" s="40" t="n"/>
      <c r="D66" s="40" t="n"/>
      <c r="E66" s="41" t="n"/>
      <c r="F66" s="40">
        <f>IF(D66&lt;&gt;"Saída","",IF(E66&gt;SUMIF($D$6:$D$205,"Entrada",$E$6:$E$205)*IFERROR(VLOOKUP(B66,CONFIG!$A$4:$B$13,2,0),1),"⚠ acima do teto","ok"))</f>
        <v/>
      </c>
      <c r="G66" s="2" t="n"/>
      <c r="H66" s="2" t="n"/>
    </row>
    <row r="67">
      <c r="A67" s="39" t="n"/>
      <c r="B67" s="40" t="n"/>
      <c r="C67" s="40" t="n"/>
      <c r="D67" s="40" t="n"/>
      <c r="E67" s="41" t="n"/>
      <c r="F67" s="40">
        <f>IF(D67&lt;&gt;"Saída","",IF(E67&gt;SUMIF($D$6:$D$205,"Entrada",$E$6:$E$205)*IFERROR(VLOOKUP(B67,CONFIG!$A$4:$B$13,2,0),1),"⚠ acima do teto","ok"))</f>
        <v/>
      </c>
      <c r="G67" s="2" t="n"/>
      <c r="H67" s="2" t="n"/>
    </row>
    <row r="68">
      <c r="A68" s="39" t="n"/>
      <c r="B68" s="40" t="n"/>
      <c r="C68" s="40" t="n"/>
      <c r="D68" s="40" t="n"/>
      <c r="E68" s="41" t="n"/>
      <c r="F68" s="40">
        <f>IF(D68&lt;&gt;"Saída","",IF(E68&gt;SUMIF($D$6:$D$205,"Entrada",$E$6:$E$205)*IFERROR(VLOOKUP(B68,CONFIG!$A$4:$B$13,2,0),1),"⚠ acima do teto","ok"))</f>
        <v/>
      </c>
      <c r="G68" s="2" t="n"/>
      <c r="H68" s="2" t="n"/>
    </row>
    <row r="69">
      <c r="A69" s="39" t="n"/>
      <c r="B69" s="40" t="n"/>
      <c r="C69" s="40" t="n"/>
      <c r="D69" s="40" t="n"/>
      <c r="E69" s="41" t="n"/>
      <c r="F69" s="40">
        <f>IF(D69&lt;&gt;"Saída","",IF(E69&gt;SUMIF($D$6:$D$205,"Entrada",$E$6:$E$205)*IFERROR(VLOOKUP(B69,CONFIG!$A$4:$B$13,2,0),1),"⚠ acima do teto","ok"))</f>
        <v/>
      </c>
      <c r="G69" s="2" t="n"/>
      <c r="H69" s="2" t="n"/>
    </row>
    <row r="70">
      <c r="A70" s="39" t="n"/>
      <c r="B70" s="40" t="n"/>
      <c r="C70" s="40" t="n"/>
      <c r="D70" s="40" t="n"/>
      <c r="E70" s="41" t="n"/>
      <c r="F70" s="40">
        <f>IF(D70&lt;&gt;"Saída","",IF(E70&gt;SUMIF($D$6:$D$205,"Entrada",$E$6:$E$205)*IFERROR(VLOOKUP(B70,CONFIG!$A$4:$B$13,2,0),1),"⚠ acima do teto","ok"))</f>
        <v/>
      </c>
      <c r="G70" s="2" t="n"/>
      <c r="H70" s="2" t="n"/>
    </row>
    <row r="71">
      <c r="A71" s="39" t="n"/>
      <c r="B71" s="40" t="n"/>
      <c r="C71" s="40" t="n"/>
      <c r="D71" s="40" t="n"/>
      <c r="E71" s="41" t="n"/>
      <c r="F71" s="40">
        <f>IF(D71&lt;&gt;"Saída","",IF(E71&gt;SUMIF($D$6:$D$205,"Entrada",$E$6:$E$205)*IFERROR(VLOOKUP(B71,CONFIG!$A$4:$B$13,2,0),1),"⚠ acima do teto","ok"))</f>
        <v/>
      </c>
      <c r="G71" s="2" t="n"/>
      <c r="H71" s="2" t="n"/>
    </row>
    <row r="72">
      <c r="A72" s="39" t="n"/>
      <c r="B72" s="40" t="n"/>
      <c r="C72" s="40" t="n"/>
      <c r="D72" s="40" t="n"/>
      <c r="E72" s="41" t="n"/>
      <c r="F72" s="40">
        <f>IF(D72&lt;&gt;"Saída","",IF(E72&gt;SUMIF($D$6:$D$205,"Entrada",$E$6:$E$205)*IFERROR(VLOOKUP(B72,CONFIG!$A$4:$B$13,2,0),1),"⚠ acima do teto","ok"))</f>
        <v/>
      </c>
      <c r="G72" s="2" t="n"/>
      <c r="H72" s="2" t="n"/>
    </row>
    <row r="73">
      <c r="A73" s="39" t="n"/>
      <c r="B73" s="40" t="n"/>
      <c r="C73" s="40" t="n"/>
      <c r="D73" s="40" t="n"/>
      <c r="E73" s="41" t="n"/>
      <c r="F73" s="40">
        <f>IF(D73&lt;&gt;"Saída","",IF(E73&gt;SUMIF($D$6:$D$205,"Entrada",$E$6:$E$205)*IFERROR(VLOOKUP(B73,CONFIG!$A$4:$B$13,2,0),1),"⚠ acima do teto","ok"))</f>
        <v/>
      </c>
      <c r="G73" s="2" t="n"/>
      <c r="H73" s="2" t="n"/>
    </row>
    <row r="74">
      <c r="A74" s="39" t="n"/>
      <c r="B74" s="40" t="n"/>
      <c r="C74" s="40" t="n"/>
      <c r="D74" s="40" t="n"/>
      <c r="E74" s="41" t="n"/>
      <c r="F74" s="40">
        <f>IF(D74&lt;&gt;"Saída","",IF(E74&gt;SUMIF($D$6:$D$205,"Entrada",$E$6:$E$205)*IFERROR(VLOOKUP(B74,CONFIG!$A$4:$B$13,2,0),1),"⚠ acima do teto","ok"))</f>
        <v/>
      </c>
      <c r="G74" s="2" t="n"/>
      <c r="H74" s="2" t="n"/>
    </row>
    <row r="75">
      <c r="A75" s="39" t="n"/>
      <c r="B75" s="40" t="n"/>
      <c r="C75" s="40" t="n"/>
      <c r="D75" s="40" t="n"/>
      <c r="E75" s="41" t="n"/>
      <c r="F75" s="40">
        <f>IF(D75&lt;&gt;"Saída","",IF(E75&gt;SUMIF($D$6:$D$205,"Entrada",$E$6:$E$205)*IFERROR(VLOOKUP(B75,CONFIG!$A$4:$B$13,2,0),1),"⚠ acima do teto","ok"))</f>
        <v/>
      </c>
      <c r="G75" s="2" t="n"/>
      <c r="H75" s="2" t="n"/>
    </row>
    <row r="76">
      <c r="A76" s="39" t="n"/>
      <c r="B76" s="40" t="n"/>
      <c r="C76" s="40" t="n"/>
      <c r="D76" s="40" t="n"/>
      <c r="E76" s="41" t="n"/>
      <c r="F76" s="40">
        <f>IF(D76&lt;&gt;"Saída","",IF(E76&gt;SUMIF($D$6:$D$205,"Entrada",$E$6:$E$205)*IFERROR(VLOOKUP(B76,CONFIG!$A$4:$B$13,2,0),1),"⚠ acima do teto","ok"))</f>
        <v/>
      </c>
      <c r="G76" s="2" t="n"/>
      <c r="H76" s="2" t="n"/>
    </row>
    <row r="77">
      <c r="A77" s="39" t="n"/>
      <c r="B77" s="40" t="n"/>
      <c r="C77" s="40" t="n"/>
      <c r="D77" s="40" t="n"/>
      <c r="E77" s="41" t="n"/>
      <c r="F77" s="40">
        <f>IF(D77&lt;&gt;"Saída","",IF(E77&gt;SUMIF($D$6:$D$205,"Entrada",$E$6:$E$205)*IFERROR(VLOOKUP(B77,CONFIG!$A$4:$B$13,2,0),1),"⚠ acima do teto","ok"))</f>
        <v/>
      </c>
      <c r="G77" s="2" t="n"/>
      <c r="H77" s="2" t="n"/>
    </row>
    <row r="78">
      <c r="A78" s="39" t="n"/>
      <c r="B78" s="40" t="n"/>
      <c r="C78" s="40" t="n"/>
      <c r="D78" s="40" t="n"/>
      <c r="E78" s="41" t="n"/>
      <c r="F78" s="40">
        <f>IF(D78&lt;&gt;"Saída","",IF(E78&gt;SUMIF($D$6:$D$205,"Entrada",$E$6:$E$205)*IFERROR(VLOOKUP(B78,CONFIG!$A$4:$B$13,2,0),1),"⚠ acima do teto","ok"))</f>
        <v/>
      </c>
      <c r="G78" s="2" t="n"/>
      <c r="H78" s="2" t="n"/>
    </row>
    <row r="79">
      <c r="A79" s="39" t="n"/>
      <c r="B79" s="40" t="n"/>
      <c r="C79" s="40" t="n"/>
      <c r="D79" s="40" t="n"/>
      <c r="E79" s="41" t="n"/>
      <c r="F79" s="40">
        <f>IF(D79&lt;&gt;"Saída","",IF(E79&gt;SUMIF($D$6:$D$205,"Entrada",$E$6:$E$205)*IFERROR(VLOOKUP(B79,CONFIG!$A$4:$B$13,2,0),1),"⚠ acima do teto","ok"))</f>
        <v/>
      </c>
      <c r="G79" s="2" t="n"/>
      <c r="H79" s="2" t="n"/>
    </row>
    <row r="80">
      <c r="A80" s="39" t="n"/>
      <c r="B80" s="40" t="n"/>
      <c r="C80" s="40" t="n"/>
      <c r="D80" s="40" t="n"/>
      <c r="E80" s="41" t="n"/>
      <c r="F80" s="40">
        <f>IF(D80&lt;&gt;"Saída","",IF(E80&gt;SUMIF($D$6:$D$205,"Entrada",$E$6:$E$205)*IFERROR(VLOOKUP(B80,CONFIG!$A$4:$B$13,2,0),1),"⚠ acima do teto","ok"))</f>
        <v/>
      </c>
      <c r="G80" s="2" t="n"/>
      <c r="H80" s="2" t="n"/>
    </row>
    <row r="81">
      <c r="A81" s="39" t="n"/>
      <c r="B81" s="40" t="n"/>
      <c r="C81" s="40" t="n"/>
      <c r="D81" s="40" t="n"/>
      <c r="E81" s="41" t="n"/>
      <c r="F81" s="40">
        <f>IF(D81&lt;&gt;"Saída","",IF(E81&gt;SUMIF($D$6:$D$205,"Entrada",$E$6:$E$205)*IFERROR(VLOOKUP(B81,CONFIG!$A$4:$B$13,2,0),1),"⚠ acima do teto","ok"))</f>
        <v/>
      </c>
      <c r="G81" s="2" t="n"/>
      <c r="H81" s="2" t="n"/>
    </row>
    <row r="82">
      <c r="A82" s="39" t="n"/>
      <c r="B82" s="40" t="n"/>
      <c r="C82" s="40" t="n"/>
      <c r="D82" s="40" t="n"/>
      <c r="E82" s="41" t="n"/>
      <c r="F82" s="40">
        <f>IF(D82&lt;&gt;"Saída","",IF(E82&gt;SUMIF($D$6:$D$205,"Entrada",$E$6:$E$205)*IFERROR(VLOOKUP(B82,CONFIG!$A$4:$B$13,2,0),1),"⚠ acima do teto","ok"))</f>
        <v/>
      </c>
      <c r="G82" s="2" t="n"/>
      <c r="H82" s="2" t="n"/>
    </row>
    <row r="83">
      <c r="A83" s="39" t="n"/>
      <c r="B83" s="40" t="n"/>
      <c r="C83" s="40" t="n"/>
      <c r="D83" s="40" t="n"/>
      <c r="E83" s="41" t="n"/>
      <c r="F83" s="40">
        <f>IF(D83&lt;&gt;"Saída","",IF(E83&gt;SUMIF($D$6:$D$205,"Entrada",$E$6:$E$205)*IFERROR(VLOOKUP(B83,CONFIG!$A$4:$B$13,2,0),1),"⚠ acima do teto","ok"))</f>
        <v/>
      </c>
      <c r="G83" s="2" t="n"/>
      <c r="H83" s="2" t="n"/>
    </row>
    <row r="84">
      <c r="A84" s="39" t="n"/>
      <c r="B84" s="40" t="n"/>
      <c r="C84" s="40" t="n"/>
      <c r="D84" s="40" t="n"/>
      <c r="E84" s="41" t="n"/>
      <c r="F84" s="40">
        <f>IF(D84&lt;&gt;"Saída","",IF(E84&gt;SUMIF($D$6:$D$205,"Entrada",$E$6:$E$205)*IFERROR(VLOOKUP(B84,CONFIG!$A$4:$B$13,2,0),1),"⚠ acima do teto","ok"))</f>
        <v/>
      </c>
      <c r="G84" s="2" t="n"/>
      <c r="H84" s="2" t="n"/>
    </row>
    <row r="85">
      <c r="A85" s="39" t="n"/>
      <c r="B85" s="40" t="n"/>
      <c r="C85" s="40" t="n"/>
      <c r="D85" s="40" t="n"/>
      <c r="E85" s="41" t="n"/>
      <c r="F85" s="40">
        <f>IF(D85&lt;&gt;"Saída","",IF(E85&gt;SUMIF($D$6:$D$205,"Entrada",$E$6:$E$205)*IFERROR(VLOOKUP(B85,CONFIG!$A$4:$B$13,2,0),1),"⚠ acima do teto","ok"))</f>
        <v/>
      </c>
      <c r="G85" s="2" t="n"/>
      <c r="H85" s="2" t="n"/>
    </row>
    <row r="86">
      <c r="A86" s="39" t="n"/>
      <c r="B86" s="40" t="n"/>
      <c r="C86" s="40" t="n"/>
      <c r="D86" s="40" t="n"/>
      <c r="E86" s="41" t="n"/>
      <c r="F86" s="40">
        <f>IF(D86&lt;&gt;"Saída","",IF(E86&gt;SUMIF($D$6:$D$205,"Entrada",$E$6:$E$205)*IFERROR(VLOOKUP(B86,CONFIG!$A$4:$B$13,2,0),1),"⚠ acima do teto","ok"))</f>
        <v/>
      </c>
      <c r="G86" s="2" t="n"/>
      <c r="H86" s="2" t="n"/>
    </row>
    <row r="87">
      <c r="A87" s="39" t="n"/>
      <c r="B87" s="40" t="n"/>
      <c r="C87" s="40" t="n"/>
      <c r="D87" s="40" t="n"/>
      <c r="E87" s="41" t="n"/>
      <c r="F87" s="40">
        <f>IF(D87&lt;&gt;"Saída","",IF(E87&gt;SUMIF($D$6:$D$205,"Entrada",$E$6:$E$205)*IFERROR(VLOOKUP(B87,CONFIG!$A$4:$B$13,2,0),1),"⚠ acima do teto","ok"))</f>
        <v/>
      </c>
      <c r="G87" s="2" t="n"/>
      <c r="H87" s="2" t="n"/>
    </row>
    <row r="88">
      <c r="A88" s="39" t="n"/>
      <c r="B88" s="40" t="n"/>
      <c r="C88" s="40" t="n"/>
      <c r="D88" s="40" t="n"/>
      <c r="E88" s="41" t="n"/>
      <c r="F88" s="40">
        <f>IF(D88&lt;&gt;"Saída","",IF(E88&gt;SUMIF($D$6:$D$205,"Entrada",$E$6:$E$205)*IFERROR(VLOOKUP(B88,CONFIG!$A$4:$B$13,2,0),1),"⚠ acima do teto","ok"))</f>
        <v/>
      </c>
      <c r="G88" s="2" t="n"/>
      <c r="H88" s="2" t="n"/>
    </row>
    <row r="89">
      <c r="A89" s="39" t="n"/>
      <c r="B89" s="40" t="n"/>
      <c r="C89" s="40" t="n"/>
      <c r="D89" s="40" t="n"/>
      <c r="E89" s="41" t="n"/>
      <c r="F89" s="40">
        <f>IF(D89&lt;&gt;"Saída","",IF(E89&gt;SUMIF($D$6:$D$205,"Entrada",$E$6:$E$205)*IFERROR(VLOOKUP(B89,CONFIG!$A$4:$B$13,2,0),1),"⚠ acima do teto","ok"))</f>
        <v/>
      </c>
      <c r="G89" s="2" t="n"/>
      <c r="H89" s="2" t="n"/>
    </row>
    <row r="90">
      <c r="A90" s="39" t="n"/>
      <c r="B90" s="40" t="n"/>
      <c r="C90" s="40" t="n"/>
      <c r="D90" s="40" t="n"/>
      <c r="E90" s="41" t="n"/>
      <c r="F90" s="40">
        <f>IF(D90&lt;&gt;"Saída","",IF(E90&gt;SUMIF($D$6:$D$205,"Entrada",$E$6:$E$205)*IFERROR(VLOOKUP(B90,CONFIG!$A$4:$B$13,2,0),1),"⚠ acima do teto","ok"))</f>
        <v/>
      </c>
      <c r="G90" s="2" t="n"/>
      <c r="H90" s="2" t="n"/>
    </row>
    <row r="91">
      <c r="A91" s="39" t="n"/>
      <c r="B91" s="40" t="n"/>
      <c r="C91" s="40" t="n"/>
      <c r="D91" s="40" t="n"/>
      <c r="E91" s="41" t="n"/>
      <c r="F91" s="40">
        <f>IF(D91&lt;&gt;"Saída","",IF(E91&gt;SUMIF($D$6:$D$205,"Entrada",$E$6:$E$205)*IFERROR(VLOOKUP(B91,CONFIG!$A$4:$B$13,2,0),1),"⚠ acima do teto","ok"))</f>
        <v/>
      </c>
      <c r="G91" s="2" t="n"/>
      <c r="H91" s="2" t="n"/>
    </row>
    <row r="92">
      <c r="A92" s="39" t="n"/>
      <c r="B92" s="40" t="n"/>
      <c r="C92" s="40" t="n"/>
      <c r="D92" s="40" t="n"/>
      <c r="E92" s="41" t="n"/>
      <c r="F92" s="40">
        <f>IF(D92&lt;&gt;"Saída","",IF(E92&gt;SUMIF($D$6:$D$205,"Entrada",$E$6:$E$205)*IFERROR(VLOOKUP(B92,CONFIG!$A$4:$B$13,2,0),1),"⚠ acima do teto","ok"))</f>
        <v/>
      </c>
      <c r="G92" s="2" t="n"/>
      <c r="H92" s="2" t="n"/>
    </row>
    <row r="93">
      <c r="A93" s="39" t="n"/>
      <c r="B93" s="40" t="n"/>
      <c r="C93" s="40" t="n"/>
      <c r="D93" s="40" t="n"/>
      <c r="E93" s="41" t="n"/>
      <c r="F93" s="40">
        <f>IF(D93&lt;&gt;"Saída","",IF(E93&gt;SUMIF($D$6:$D$205,"Entrada",$E$6:$E$205)*IFERROR(VLOOKUP(B93,CONFIG!$A$4:$B$13,2,0),1),"⚠ acima do teto","ok"))</f>
        <v/>
      </c>
      <c r="G93" s="2" t="n"/>
      <c r="H93" s="2" t="n"/>
    </row>
    <row r="94">
      <c r="A94" s="39" t="n"/>
      <c r="B94" s="40" t="n"/>
      <c r="C94" s="40" t="n"/>
      <c r="D94" s="40" t="n"/>
      <c r="E94" s="41" t="n"/>
      <c r="F94" s="40">
        <f>IF(D94&lt;&gt;"Saída","",IF(E94&gt;SUMIF($D$6:$D$205,"Entrada",$E$6:$E$205)*IFERROR(VLOOKUP(B94,CONFIG!$A$4:$B$13,2,0),1),"⚠ acima do teto","ok"))</f>
        <v/>
      </c>
      <c r="G94" s="2" t="n"/>
      <c r="H94" s="2" t="n"/>
    </row>
    <row r="95">
      <c r="A95" s="39" t="n"/>
      <c r="B95" s="40" t="n"/>
      <c r="C95" s="40" t="n"/>
      <c r="D95" s="40" t="n"/>
      <c r="E95" s="41" t="n"/>
      <c r="F95" s="40">
        <f>IF(D95&lt;&gt;"Saída","",IF(E95&gt;SUMIF($D$6:$D$205,"Entrada",$E$6:$E$205)*IFERROR(VLOOKUP(B95,CONFIG!$A$4:$B$13,2,0),1),"⚠ acima do teto","ok"))</f>
        <v/>
      </c>
      <c r="G95" s="2" t="n"/>
      <c r="H95" s="2" t="n"/>
    </row>
    <row r="96">
      <c r="A96" s="39" t="n"/>
      <c r="B96" s="40" t="n"/>
      <c r="C96" s="40" t="n"/>
      <c r="D96" s="40" t="n"/>
      <c r="E96" s="41" t="n"/>
      <c r="F96" s="40">
        <f>IF(D96&lt;&gt;"Saída","",IF(E96&gt;SUMIF($D$6:$D$205,"Entrada",$E$6:$E$205)*IFERROR(VLOOKUP(B96,CONFIG!$A$4:$B$13,2,0),1),"⚠ acima do teto","ok"))</f>
        <v/>
      </c>
      <c r="G96" s="2" t="n"/>
      <c r="H96" s="2" t="n"/>
    </row>
    <row r="97">
      <c r="A97" s="39" t="n"/>
      <c r="B97" s="40" t="n"/>
      <c r="C97" s="40" t="n"/>
      <c r="D97" s="40" t="n"/>
      <c r="E97" s="41" t="n"/>
      <c r="F97" s="40">
        <f>IF(D97&lt;&gt;"Saída","",IF(E97&gt;SUMIF($D$6:$D$205,"Entrada",$E$6:$E$205)*IFERROR(VLOOKUP(B97,CONFIG!$A$4:$B$13,2,0),1),"⚠ acima do teto","ok"))</f>
        <v/>
      </c>
      <c r="G97" s="2" t="n"/>
      <c r="H97" s="2" t="n"/>
    </row>
    <row r="98">
      <c r="A98" s="39" t="n"/>
      <c r="B98" s="40" t="n"/>
      <c r="C98" s="40" t="n"/>
      <c r="D98" s="40" t="n"/>
      <c r="E98" s="41" t="n"/>
      <c r="F98" s="40">
        <f>IF(D98&lt;&gt;"Saída","",IF(E98&gt;SUMIF($D$6:$D$205,"Entrada",$E$6:$E$205)*IFERROR(VLOOKUP(B98,CONFIG!$A$4:$B$13,2,0),1),"⚠ acima do teto","ok"))</f>
        <v/>
      </c>
      <c r="G98" s="2" t="n"/>
      <c r="H98" s="2" t="n"/>
    </row>
    <row r="99">
      <c r="A99" s="39" t="n"/>
      <c r="B99" s="40" t="n"/>
      <c r="C99" s="40" t="n"/>
      <c r="D99" s="40" t="n"/>
      <c r="E99" s="41" t="n"/>
      <c r="F99" s="40">
        <f>IF(D99&lt;&gt;"Saída","",IF(E99&gt;SUMIF($D$6:$D$205,"Entrada",$E$6:$E$205)*IFERROR(VLOOKUP(B99,CONFIG!$A$4:$B$13,2,0),1),"⚠ acima do teto","ok"))</f>
        <v/>
      </c>
      <c r="G99" s="2" t="n"/>
      <c r="H99" s="2" t="n"/>
    </row>
    <row r="100">
      <c r="A100" s="39" t="n"/>
      <c r="B100" s="40" t="n"/>
      <c r="C100" s="40" t="n"/>
      <c r="D100" s="40" t="n"/>
      <c r="E100" s="41" t="n"/>
      <c r="F100" s="40">
        <f>IF(D100&lt;&gt;"Saída","",IF(E100&gt;SUMIF($D$6:$D$205,"Entrada",$E$6:$E$205)*IFERROR(VLOOKUP(B100,CONFIG!$A$4:$B$13,2,0),1),"⚠ acima do teto","ok"))</f>
        <v/>
      </c>
      <c r="G100" s="2" t="n"/>
      <c r="H100" s="2" t="n"/>
    </row>
    <row r="101">
      <c r="A101" s="39" t="n"/>
      <c r="B101" s="40" t="n"/>
      <c r="C101" s="40" t="n"/>
      <c r="D101" s="40" t="n"/>
      <c r="E101" s="41" t="n"/>
      <c r="F101" s="40">
        <f>IF(D101&lt;&gt;"Saída","",IF(E101&gt;SUMIF($D$6:$D$205,"Entrada",$E$6:$E$205)*IFERROR(VLOOKUP(B101,CONFIG!$A$4:$B$13,2,0),1),"⚠ acima do teto","ok"))</f>
        <v/>
      </c>
      <c r="G101" s="2" t="n"/>
      <c r="H101" s="2" t="n"/>
    </row>
    <row r="102">
      <c r="A102" s="39" t="n"/>
      <c r="B102" s="40" t="n"/>
      <c r="C102" s="40" t="n"/>
      <c r="D102" s="40" t="n"/>
      <c r="E102" s="41" t="n"/>
      <c r="F102" s="40">
        <f>IF(D102&lt;&gt;"Saída","",IF(E102&gt;SUMIF($D$6:$D$205,"Entrada",$E$6:$E$205)*IFERROR(VLOOKUP(B102,CONFIG!$A$4:$B$13,2,0),1),"⚠ acima do teto","ok"))</f>
        <v/>
      </c>
      <c r="G102" s="2" t="n"/>
      <c r="H102" s="2" t="n"/>
    </row>
    <row r="103">
      <c r="A103" s="39" t="n"/>
      <c r="B103" s="40" t="n"/>
      <c r="C103" s="40" t="n"/>
      <c r="D103" s="40" t="n"/>
      <c r="E103" s="41" t="n"/>
      <c r="F103" s="40">
        <f>IF(D103&lt;&gt;"Saída","",IF(E103&gt;SUMIF($D$6:$D$205,"Entrada",$E$6:$E$205)*IFERROR(VLOOKUP(B103,CONFIG!$A$4:$B$13,2,0),1),"⚠ acima do teto","ok"))</f>
        <v/>
      </c>
      <c r="G103" s="2" t="n"/>
      <c r="H103" s="2" t="n"/>
    </row>
    <row r="104">
      <c r="A104" s="39" t="n"/>
      <c r="B104" s="40" t="n"/>
      <c r="C104" s="40" t="n"/>
      <c r="D104" s="40" t="n"/>
      <c r="E104" s="41" t="n"/>
      <c r="F104" s="40">
        <f>IF(D104&lt;&gt;"Saída","",IF(E104&gt;SUMIF($D$6:$D$205,"Entrada",$E$6:$E$205)*IFERROR(VLOOKUP(B104,CONFIG!$A$4:$B$13,2,0),1),"⚠ acima do teto","ok"))</f>
        <v/>
      </c>
      <c r="G104" s="2" t="n"/>
      <c r="H104" s="2" t="n"/>
    </row>
    <row r="105">
      <c r="A105" s="39" t="n"/>
      <c r="B105" s="40" t="n"/>
      <c r="C105" s="40" t="n"/>
      <c r="D105" s="40" t="n"/>
      <c r="E105" s="41" t="n"/>
      <c r="F105" s="40">
        <f>IF(D105&lt;&gt;"Saída","",IF(E105&gt;SUMIF($D$6:$D$205,"Entrada",$E$6:$E$205)*IFERROR(VLOOKUP(B105,CONFIG!$A$4:$B$13,2,0),1),"⚠ acima do teto","ok"))</f>
        <v/>
      </c>
      <c r="G105" s="2" t="n"/>
      <c r="H105" s="2" t="n"/>
    </row>
    <row r="106">
      <c r="A106" s="39" t="n"/>
      <c r="B106" s="40" t="n"/>
      <c r="C106" s="40" t="n"/>
      <c r="D106" s="40" t="n"/>
      <c r="E106" s="41" t="n"/>
      <c r="F106" s="40">
        <f>IF(D106&lt;&gt;"Saída","",IF(E106&gt;SUMIF($D$6:$D$205,"Entrada",$E$6:$E$205)*IFERROR(VLOOKUP(B106,CONFIG!$A$4:$B$13,2,0),1),"⚠ acima do teto","ok"))</f>
        <v/>
      </c>
      <c r="G106" s="2" t="n"/>
      <c r="H106" s="2" t="n"/>
    </row>
    <row r="107">
      <c r="A107" s="39" t="n"/>
      <c r="B107" s="40" t="n"/>
      <c r="C107" s="40" t="n"/>
      <c r="D107" s="40" t="n"/>
      <c r="E107" s="41" t="n"/>
      <c r="F107" s="40">
        <f>IF(D107&lt;&gt;"Saída","",IF(E107&gt;SUMIF($D$6:$D$205,"Entrada",$E$6:$E$205)*IFERROR(VLOOKUP(B107,CONFIG!$A$4:$B$13,2,0),1),"⚠ acima do teto","ok"))</f>
        <v/>
      </c>
      <c r="G107" s="2" t="n"/>
      <c r="H107" s="2" t="n"/>
    </row>
    <row r="108">
      <c r="A108" s="39" t="n"/>
      <c r="B108" s="40" t="n"/>
      <c r="C108" s="40" t="n"/>
      <c r="D108" s="40" t="n"/>
      <c r="E108" s="41" t="n"/>
      <c r="F108" s="40">
        <f>IF(D108&lt;&gt;"Saída","",IF(E108&gt;SUMIF($D$6:$D$205,"Entrada",$E$6:$E$205)*IFERROR(VLOOKUP(B108,CONFIG!$A$4:$B$13,2,0),1),"⚠ acima do teto","ok"))</f>
        <v/>
      </c>
      <c r="G108" s="2" t="n"/>
      <c r="H108" s="2" t="n"/>
    </row>
    <row r="109">
      <c r="A109" s="39" t="n"/>
      <c r="B109" s="40" t="n"/>
      <c r="C109" s="40" t="n"/>
      <c r="D109" s="40" t="n"/>
      <c r="E109" s="41" t="n"/>
      <c r="F109" s="40">
        <f>IF(D109&lt;&gt;"Saída","",IF(E109&gt;SUMIF($D$6:$D$205,"Entrada",$E$6:$E$205)*IFERROR(VLOOKUP(B109,CONFIG!$A$4:$B$13,2,0),1),"⚠ acima do teto","ok"))</f>
        <v/>
      </c>
      <c r="G109" s="2" t="n"/>
      <c r="H109" s="2" t="n"/>
    </row>
    <row r="110">
      <c r="A110" s="39" t="n"/>
      <c r="B110" s="40" t="n"/>
      <c r="C110" s="40" t="n"/>
      <c r="D110" s="40" t="n"/>
      <c r="E110" s="41" t="n"/>
      <c r="F110" s="40">
        <f>IF(D110&lt;&gt;"Saída","",IF(E110&gt;SUMIF($D$6:$D$205,"Entrada",$E$6:$E$205)*IFERROR(VLOOKUP(B110,CONFIG!$A$4:$B$13,2,0),1),"⚠ acima do teto","ok"))</f>
        <v/>
      </c>
      <c r="G110" s="2" t="n"/>
      <c r="H110" s="2" t="n"/>
    </row>
    <row r="111">
      <c r="A111" s="39" t="n"/>
      <c r="B111" s="40" t="n"/>
      <c r="C111" s="40" t="n"/>
      <c r="D111" s="40" t="n"/>
      <c r="E111" s="41" t="n"/>
      <c r="F111" s="40">
        <f>IF(D111&lt;&gt;"Saída","",IF(E111&gt;SUMIF($D$6:$D$205,"Entrada",$E$6:$E$205)*IFERROR(VLOOKUP(B111,CONFIG!$A$4:$B$13,2,0),1),"⚠ acima do teto","ok"))</f>
        <v/>
      </c>
      <c r="G111" s="2" t="n"/>
      <c r="H111" s="2" t="n"/>
    </row>
    <row r="112">
      <c r="A112" s="39" t="n"/>
      <c r="B112" s="40" t="n"/>
      <c r="C112" s="40" t="n"/>
      <c r="D112" s="40" t="n"/>
      <c r="E112" s="41" t="n"/>
      <c r="F112" s="40">
        <f>IF(D112&lt;&gt;"Saída","",IF(E112&gt;SUMIF($D$6:$D$205,"Entrada",$E$6:$E$205)*IFERROR(VLOOKUP(B112,CONFIG!$A$4:$B$13,2,0),1),"⚠ acima do teto","ok"))</f>
        <v/>
      </c>
      <c r="G112" s="2" t="n"/>
      <c r="H112" s="2" t="n"/>
    </row>
    <row r="113">
      <c r="A113" s="39" t="n"/>
      <c r="B113" s="40" t="n"/>
      <c r="C113" s="40" t="n"/>
      <c r="D113" s="40" t="n"/>
      <c r="E113" s="41" t="n"/>
      <c r="F113" s="40">
        <f>IF(D113&lt;&gt;"Saída","",IF(E113&gt;SUMIF($D$6:$D$205,"Entrada",$E$6:$E$205)*IFERROR(VLOOKUP(B113,CONFIG!$A$4:$B$13,2,0),1),"⚠ acima do teto","ok"))</f>
        <v/>
      </c>
      <c r="G113" s="2" t="n"/>
      <c r="H113" s="2" t="n"/>
    </row>
    <row r="114">
      <c r="A114" s="39" t="n"/>
      <c r="B114" s="40" t="n"/>
      <c r="C114" s="40" t="n"/>
      <c r="D114" s="40" t="n"/>
      <c r="E114" s="41" t="n"/>
      <c r="F114" s="40">
        <f>IF(D114&lt;&gt;"Saída","",IF(E114&gt;SUMIF($D$6:$D$205,"Entrada",$E$6:$E$205)*IFERROR(VLOOKUP(B114,CONFIG!$A$4:$B$13,2,0),1),"⚠ acima do teto","ok"))</f>
        <v/>
      </c>
      <c r="G114" s="2" t="n"/>
      <c r="H114" s="2" t="n"/>
    </row>
    <row r="115">
      <c r="A115" s="39" t="n"/>
      <c r="B115" s="40" t="n"/>
      <c r="C115" s="40" t="n"/>
      <c r="D115" s="40" t="n"/>
      <c r="E115" s="41" t="n"/>
      <c r="F115" s="40">
        <f>IF(D115&lt;&gt;"Saída","",IF(E115&gt;SUMIF($D$6:$D$205,"Entrada",$E$6:$E$205)*IFERROR(VLOOKUP(B115,CONFIG!$A$4:$B$13,2,0),1),"⚠ acima do teto","ok"))</f>
        <v/>
      </c>
      <c r="G115" s="2" t="n"/>
      <c r="H115" s="2" t="n"/>
    </row>
    <row r="116">
      <c r="A116" s="39" t="n"/>
      <c r="B116" s="40" t="n"/>
      <c r="C116" s="40" t="n"/>
      <c r="D116" s="40" t="n"/>
      <c r="E116" s="41" t="n"/>
      <c r="F116" s="40">
        <f>IF(D116&lt;&gt;"Saída","",IF(E116&gt;SUMIF($D$6:$D$205,"Entrada",$E$6:$E$205)*IFERROR(VLOOKUP(B116,CONFIG!$A$4:$B$13,2,0),1),"⚠ acima do teto","ok"))</f>
        <v/>
      </c>
      <c r="G116" s="2" t="n"/>
      <c r="H116" s="2" t="n"/>
    </row>
    <row r="117">
      <c r="A117" s="39" t="n"/>
      <c r="B117" s="40" t="n"/>
      <c r="C117" s="40" t="n"/>
      <c r="D117" s="40" t="n"/>
      <c r="E117" s="41" t="n"/>
      <c r="F117" s="40">
        <f>IF(D117&lt;&gt;"Saída","",IF(E117&gt;SUMIF($D$6:$D$205,"Entrada",$E$6:$E$205)*IFERROR(VLOOKUP(B117,CONFIG!$A$4:$B$13,2,0),1),"⚠ acima do teto","ok"))</f>
        <v/>
      </c>
      <c r="G117" s="2" t="n"/>
      <c r="H117" s="2" t="n"/>
    </row>
    <row r="118">
      <c r="A118" s="39" t="n"/>
      <c r="B118" s="40" t="n"/>
      <c r="C118" s="40" t="n"/>
      <c r="D118" s="40" t="n"/>
      <c r="E118" s="41" t="n"/>
      <c r="F118" s="40">
        <f>IF(D118&lt;&gt;"Saída","",IF(E118&gt;SUMIF($D$6:$D$205,"Entrada",$E$6:$E$205)*IFERROR(VLOOKUP(B118,CONFIG!$A$4:$B$13,2,0),1),"⚠ acima do teto","ok"))</f>
        <v/>
      </c>
      <c r="G118" s="2" t="n"/>
      <c r="H118" s="2" t="n"/>
    </row>
    <row r="119">
      <c r="A119" s="39" t="n"/>
      <c r="B119" s="40" t="n"/>
      <c r="C119" s="40" t="n"/>
      <c r="D119" s="40" t="n"/>
      <c r="E119" s="41" t="n"/>
      <c r="F119" s="40">
        <f>IF(D119&lt;&gt;"Saída","",IF(E119&gt;SUMIF($D$6:$D$205,"Entrada",$E$6:$E$205)*IFERROR(VLOOKUP(B119,CONFIG!$A$4:$B$13,2,0),1),"⚠ acima do teto","ok"))</f>
        <v/>
      </c>
      <c r="G119" s="2" t="n"/>
      <c r="H119" s="2" t="n"/>
    </row>
    <row r="120">
      <c r="A120" s="39" t="n"/>
      <c r="B120" s="40" t="n"/>
      <c r="C120" s="40" t="n"/>
      <c r="D120" s="40" t="n"/>
      <c r="E120" s="41" t="n"/>
      <c r="F120" s="40">
        <f>IF(D120&lt;&gt;"Saída","",IF(E120&gt;SUMIF($D$6:$D$205,"Entrada",$E$6:$E$205)*IFERROR(VLOOKUP(B120,CONFIG!$A$4:$B$13,2,0),1),"⚠ acima do teto","ok"))</f>
        <v/>
      </c>
      <c r="G120" s="2" t="n"/>
      <c r="H120" s="2" t="n"/>
    </row>
    <row r="121">
      <c r="A121" s="39" t="n"/>
      <c r="B121" s="40" t="n"/>
      <c r="C121" s="40" t="n"/>
      <c r="D121" s="40" t="n"/>
      <c r="E121" s="41" t="n"/>
      <c r="F121" s="40">
        <f>IF(D121&lt;&gt;"Saída","",IF(E121&gt;SUMIF($D$6:$D$205,"Entrada",$E$6:$E$205)*IFERROR(VLOOKUP(B121,CONFIG!$A$4:$B$13,2,0),1),"⚠ acima do teto","ok"))</f>
        <v/>
      </c>
      <c r="G121" s="2" t="n"/>
      <c r="H121" s="2" t="n"/>
    </row>
    <row r="122">
      <c r="A122" s="39" t="n"/>
      <c r="B122" s="40" t="n"/>
      <c r="C122" s="40" t="n"/>
      <c r="D122" s="40" t="n"/>
      <c r="E122" s="41" t="n"/>
      <c r="F122" s="40">
        <f>IF(D122&lt;&gt;"Saída","",IF(E122&gt;SUMIF($D$6:$D$205,"Entrada",$E$6:$E$205)*IFERROR(VLOOKUP(B122,CONFIG!$A$4:$B$13,2,0),1),"⚠ acima do teto","ok"))</f>
        <v/>
      </c>
      <c r="G122" s="2" t="n"/>
      <c r="H122" s="2" t="n"/>
    </row>
    <row r="123">
      <c r="A123" s="39" t="n"/>
      <c r="B123" s="40" t="n"/>
      <c r="C123" s="40" t="n"/>
      <c r="D123" s="40" t="n"/>
      <c r="E123" s="41" t="n"/>
      <c r="F123" s="40">
        <f>IF(D123&lt;&gt;"Saída","",IF(E123&gt;SUMIF($D$6:$D$205,"Entrada",$E$6:$E$205)*IFERROR(VLOOKUP(B123,CONFIG!$A$4:$B$13,2,0),1),"⚠ acima do teto","ok"))</f>
        <v/>
      </c>
      <c r="G123" s="2" t="n"/>
      <c r="H123" s="2" t="n"/>
    </row>
    <row r="124">
      <c r="A124" s="39" t="n"/>
      <c r="B124" s="40" t="n"/>
      <c r="C124" s="40" t="n"/>
      <c r="D124" s="40" t="n"/>
      <c r="E124" s="41" t="n"/>
      <c r="F124" s="40">
        <f>IF(D124&lt;&gt;"Saída","",IF(E124&gt;SUMIF($D$6:$D$205,"Entrada",$E$6:$E$205)*IFERROR(VLOOKUP(B124,CONFIG!$A$4:$B$13,2,0),1),"⚠ acima do teto","ok"))</f>
        <v/>
      </c>
      <c r="G124" s="2" t="n"/>
      <c r="H124" s="2" t="n"/>
    </row>
    <row r="125">
      <c r="A125" s="39" t="n"/>
      <c r="B125" s="40" t="n"/>
      <c r="C125" s="40" t="n"/>
      <c r="D125" s="40" t="n"/>
      <c r="E125" s="41" t="n"/>
      <c r="F125" s="40">
        <f>IF(D125&lt;&gt;"Saída","",IF(E125&gt;SUMIF($D$6:$D$205,"Entrada",$E$6:$E$205)*IFERROR(VLOOKUP(B125,CONFIG!$A$4:$B$13,2,0),1),"⚠ acima do teto","ok"))</f>
        <v/>
      </c>
      <c r="G125" s="2" t="n"/>
      <c r="H125" s="2" t="n"/>
    </row>
    <row r="126">
      <c r="A126" s="39" t="n"/>
      <c r="B126" s="40" t="n"/>
      <c r="C126" s="40" t="n"/>
      <c r="D126" s="40" t="n"/>
      <c r="E126" s="41" t="n"/>
      <c r="F126" s="40">
        <f>IF(D126&lt;&gt;"Saída","",IF(E126&gt;SUMIF($D$6:$D$205,"Entrada",$E$6:$E$205)*IFERROR(VLOOKUP(B126,CONFIG!$A$4:$B$13,2,0),1),"⚠ acima do teto","ok"))</f>
        <v/>
      </c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F3"/>
    <mergeCell ref="A2:F2"/>
    <mergeCell ref="A1:F1"/>
  </mergeCells>
  <conditionalFormatting sqref="F6:F126">
    <cfRule type="cellIs" priority="1" operator="equal" dxfId="2">
      <formula>"⚠ acima do teto"</formula>
    </cfRule>
  </conditionalFormatting>
  <conditionalFormatting sqref="E6:E126">
    <cfRule type="dataBar" priority="2">
      <dataBar>
        <cfvo type="min"/>
        <cfvo type="max"/>
        <color rgb="00C99C66"/>
      </dataBar>
    </cfRule>
  </conditionalFormatting>
  <dataValidations count="2">
    <dataValidation sqref="B6:B126" showDropDown="0" showInputMessage="0" showErrorMessage="0" allowBlank="1" errorTitle="Valor inválido" error="Selecione um valor da lista" promptTitle="Trust Excel" prompt="Escolha uma opção" type="list">
      <formula1>=CONFIG!$A$4:$A$13</formula1>
    </dataValidation>
    <dataValidation sqref="D6:D126" showDropDown="0" showInputMessage="0" showErrorMessage="0" allowBlank="1" errorTitle="Valor inválido" error="Selecione um valor da lista" promptTitle="Trust Excel" prompt="Escolha uma opção" type="list">
      <formula1>"Entrada,Saída"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Projeção de Patrimônio (12 meses)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Sobra mensal reinvestida com juros compostos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38" t="inlineStr">
        <is>
          <t>Aporte mensal (sobra)</t>
        </is>
      </c>
      <c r="B5" s="42">
        <f>DASHBOARD!C10</f>
        <v/>
      </c>
      <c r="C5" s="2" t="n"/>
      <c r="D5" s="2" t="n"/>
      <c r="E5" s="2" t="n"/>
      <c r="F5" s="2" t="n"/>
      <c r="G5" s="2" t="n"/>
      <c r="H5" s="2" t="n"/>
    </row>
    <row r="6">
      <c r="A6" s="38" t="inlineStr">
        <is>
          <t>Rendimento a.m.</t>
        </is>
      </c>
      <c r="B6" s="43" t="n">
        <v>0.008</v>
      </c>
      <c r="C6" s="2" t="n"/>
      <c r="D6" s="2" t="n"/>
      <c r="E6" s="2" t="n"/>
      <c r="F6" s="2" t="n"/>
      <c r="G6" s="2" t="n"/>
      <c r="H6" s="2" t="n"/>
    </row>
    <row r="7">
      <c r="A7" s="38" t="inlineStr">
        <is>
          <t>Patrimônio inicial</t>
        </is>
      </c>
      <c r="B7" s="44" t="n">
        <v>5000</v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 ht="26" customHeight="1">
      <c r="A9" s="17" t="inlineStr">
        <is>
          <t>Mês</t>
        </is>
      </c>
      <c r="B9" s="17" t="inlineStr">
        <is>
          <t>Patrimônio projetado</t>
        </is>
      </c>
      <c r="C9" s="2" t="n"/>
      <c r="D9" s="2" t="n"/>
      <c r="E9" s="2" t="n"/>
      <c r="F9" s="2" t="n"/>
      <c r="G9" s="2" t="n"/>
      <c r="H9" s="2" t="n"/>
    </row>
    <row r="10">
      <c r="A10" s="36" t="n">
        <v>1</v>
      </c>
      <c r="B10" s="45">
        <f>$B$7*(1+$B$6)+$B$5</f>
        <v/>
      </c>
      <c r="C10" s="2" t="n"/>
      <c r="D10" s="2" t="n"/>
      <c r="E10" s="2" t="n"/>
      <c r="F10" s="2" t="n"/>
      <c r="G10" s="2" t="n"/>
      <c r="H10" s="2" t="n"/>
    </row>
    <row r="11">
      <c r="A11" s="36" t="n">
        <v>2</v>
      </c>
      <c r="B11" s="45">
        <f>B10*(1+$B$6)+$B$5</f>
        <v/>
      </c>
      <c r="C11" s="2" t="n"/>
      <c r="D11" s="2" t="n"/>
      <c r="E11" s="2" t="n"/>
      <c r="F11" s="2" t="n"/>
      <c r="G11" s="2" t="n"/>
      <c r="H11" s="2" t="n"/>
    </row>
    <row r="12">
      <c r="A12" s="36" t="n">
        <v>3</v>
      </c>
      <c r="B12" s="45">
        <f>B11*(1+$B$6)+$B$5</f>
        <v/>
      </c>
      <c r="C12" s="2" t="n"/>
      <c r="D12" s="2" t="n"/>
      <c r="E12" s="2" t="n"/>
      <c r="F12" s="2" t="n"/>
      <c r="G12" s="2" t="n"/>
      <c r="H12" s="2" t="n"/>
    </row>
    <row r="13">
      <c r="A13" s="36" t="n">
        <v>4</v>
      </c>
      <c r="B13" s="45">
        <f>B12*(1+$B$6)+$B$5</f>
        <v/>
      </c>
      <c r="C13" s="2" t="n"/>
      <c r="D13" s="2" t="n"/>
      <c r="E13" s="2" t="n"/>
      <c r="F13" s="2" t="n"/>
      <c r="G13" s="2" t="n"/>
      <c r="H13" s="2" t="n"/>
    </row>
    <row r="14">
      <c r="A14" s="36" t="n">
        <v>5</v>
      </c>
      <c r="B14" s="45">
        <f>B13*(1+$B$6)+$B$5</f>
        <v/>
      </c>
      <c r="C14" s="2" t="n"/>
      <c r="D14" s="2" t="n"/>
      <c r="E14" s="2" t="n"/>
      <c r="F14" s="2" t="n"/>
      <c r="G14" s="2" t="n"/>
      <c r="H14" s="2" t="n"/>
    </row>
    <row r="15">
      <c r="A15" s="36" t="n">
        <v>6</v>
      </c>
      <c r="B15" s="45">
        <f>B14*(1+$B$6)+$B$5</f>
        <v/>
      </c>
      <c r="C15" s="2" t="n"/>
      <c r="D15" s="2" t="n"/>
      <c r="E15" s="2" t="n"/>
      <c r="F15" s="2" t="n"/>
      <c r="G15" s="2" t="n"/>
      <c r="H15" s="2" t="n"/>
    </row>
    <row r="16">
      <c r="A16" s="36" t="n">
        <v>7</v>
      </c>
      <c r="B16" s="45">
        <f>B15*(1+$B$6)+$B$5</f>
        <v/>
      </c>
      <c r="C16" s="2" t="n"/>
      <c r="D16" s="2" t="n"/>
      <c r="E16" s="2" t="n"/>
      <c r="F16" s="2" t="n"/>
      <c r="G16" s="2" t="n"/>
      <c r="H16" s="2" t="n"/>
    </row>
    <row r="17">
      <c r="A17" s="36" t="n">
        <v>8</v>
      </c>
      <c r="B17" s="45">
        <f>B16*(1+$B$6)+$B$5</f>
        <v/>
      </c>
      <c r="C17" s="2" t="n"/>
      <c r="D17" s="2" t="n"/>
      <c r="E17" s="2" t="n"/>
      <c r="F17" s="2" t="n"/>
      <c r="G17" s="2" t="n"/>
      <c r="H17" s="2" t="n"/>
    </row>
    <row r="18">
      <c r="A18" s="36" t="n">
        <v>9</v>
      </c>
      <c r="B18" s="45">
        <f>B17*(1+$B$6)+$B$5</f>
        <v/>
      </c>
      <c r="C18" s="2" t="n"/>
      <c r="D18" s="2" t="n"/>
      <c r="E18" s="2" t="n"/>
      <c r="F18" s="2" t="n"/>
      <c r="G18" s="2" t="n"/>
      <c r="H18" s="2" t="n"/>
    </row>
    <row r="19">
      <c r="A19" s="36" t="n">
        <v>10</v>
      </c>
      <c r="B19" s="45">
        <f>B18*(1+$B$6)+$B$5</f>
        <v/>
      </c>
      <c r="C19" s="2" t="n"/>
      <c r="D19" s="2" t="n"/>
      <c r="E19" s="2" t="n"/>
      <c r="F19" s="2" t="n"/>
      <c r="G19" s="2" t="n"/>
      <c r="H19" s="2" t="n"/>
    </row>
    <row r="20">
      <c r="A20" s="36" t="n">
        <v>11</v>
      </c>
      <c r="B20" s="45">
        <f>B19*(1+$B$6)+$B$5</f>
        <v/>
      </c>
      <c r="C20" s="2" t="n"/>
      <c r="D20" s="2" t="n"/>
      <c r="E20" s="2" t="n"/>
      <c r="F20" s="2" t="n"/>
      <c r="G20" s="2" t="n"/>
      <c r="H20" s="2" t="n"/>
    </row>
    <row r="21">
      <c r="A21" s="36" t="n">
        <v>12</v>
      </c>
      <c r="B21" s="45">
        <f>B20*(1+$B$6)+$B$5</f>
        <v/>
      </c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2026-07-22T18:16:56Z</dcterms:created>
  <dcterms:modified xmlns:dcterms="http://purl.org/dc/terms/" xmlns:xsi="http://www.w3.org/2001/XMLSchema-instance" xsi:type="dcterms:W3CDTF">2026-07-22T18:16:57Z</dcterms:modified>
</cp:coreProperties>
</file>