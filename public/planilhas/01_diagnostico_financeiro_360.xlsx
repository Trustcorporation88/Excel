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AC3C2B00-6023-4DA7-A04C-F297EC7C94A1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CONFIG" sheetId="2" r:id="rId2"/>
    <sheet name="LANCAMENTOS" sheetId="3" r:id="rId3"/>
    <sheet name="PROJECAO" sheetId="4" r:id="rId4"/>
  </sheets>
  <definedNames>
    <definedName name="_xlnm.Print_Area" localSheetId="0">DASHBOARD!$A$1:$L$31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3" l="1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Z45" i="1"/>
  <c r="C30" i="1" s="1"/>
  <c r="Z44" i="1"/>
  <c r="Z41" i="1"/>
  <c r="Z40" i="1"/>
  <c r="Z42" i="1" s="1"/>
  <c r="S22" i="1"/>
  <c r="S21" i="1"/>
  <c r="S20" i="1"/>
  <c r="S19" i="1"/>
  <c r="S18" i="1"/>
  <c r="S17" i="1"/>
  <c r="S16" i="1"/>
  <c r="S15" i="1"/>
  <c r="S14" i="1"/>
  <c r="S13" i="1"/>
  <c r="S12" i="1"/>
  <c r="S11" i="1"/>
  <c r="Z46" i="1" l="1"/>
  <c r="U13" i="1" s="1"/>
  <c r="U15" i="1"/>
  <c r="G15" i="1"/>
  <c r="F6" i="1"/>
  <c r="Z43" i="1"/>
  <c r="B5" i="4"/>
  <c r="B10" i="4" s="1"/>
  <c r="Z47" i="1"/>
  <c r="G13" i="1"/>
  <c r="U12" i="1"/>
  <c r="G14" i="1"/>
  <c r="C29" i="1"/>
  <c r="B6" i="1"/>
  <c r="U14" i="1"/>
  <c r="D6" i="1"/>
  <c r="F15" i="1" l="1"/>
  <c r="E15" i="1"/>
  <c r="D15" i="1"/>
  <c r="E14" i="1"/>
  <c r="D14" i="1"/>
  <c r="D13" i="1"/>
  <c r="F13" i="1"/>
  <c r="F14" i="1" s="1"/>
  <c r="E13" i="1"/>
  <c r="B9" i="1"/>
  <c r="J6" i="1"/>
  <c r="C28" i="1"/>
  <c r="B11" i="4"/>
  <c r="I27" i="1"/>
  <c r="H6" i="1"/>
  <c r="C27" i="1"/>
  <c r="U11" i="1"/>
  <c r="C14" i="1" l="1"/>
  <c r="B12" i="4"/>
  <c r="I28" i="1"/>
  <c r="I29" i="1" l="1"/>
  <c r="B13" i="4"/>
  <c r="I30" i="1" l="1"/>
  <c r="B14" i="4"/>
  <c r="I31" i="1" l="1"/>
  <c r="B15" i="4"/>
  <c r="I32" i="1" l="1"/>
  <c r="B16" i="4"/>
  <c r="B17" i="4" l="1"/>
  <c r="I33" i="1"/>
  <c r="B18" i="4" l="1"/>
  <c r="I34" i="1"/>
  <c r="B19" i="4" l="1"/>
  <c r="I35" i="1"/>
  <c r="B20" i="4" l="1"/>
  <c r="I36" i="1"/>
  <c r="B21" i="4" l="1"/>
  <c r="I38" i="1" s="1"/>
  <c r="J36" i="1" s="1"/>
  <c r="I37" i="1"/>
  <c r="J38" i="1" l="1"/>
  <c r="J27" i="1"/>
  <c r="J28" i="1"/>
  <c r="J29" i="1"/>
  <c r="J30" i="1"/>
  <c r="J32" i="1"/>
  <c r="J35" i="1"/>
  <c r="J34" i="1"/>
  <c r="J31" i="1"/>
  <c r="J37" i="1"/>
  <c r="J33" i="1"/>
</calcChain>
</file>

<file path=xl/sharedStrings.xml><?xml version="1.0" encoding="utf-8"?>
<sst xmlns="http://schemas.openxmlformats.org/spreadsheetml/2006/main" count="140" uniqueCount="94">
  <si>
    <t>TRUST EXCEL  ·  TRUST CORPORATION</t>
  </si>
  <si>
    <t>Diagnóstico Financeiro 360</t>
  </si>
  <si>
    <t>Score · cash bridge · health metrics</t>
  </si>
  <si>
    <t>RENDA DO MÊS</t>
  </si>
  <si>
    <t>GASTOS</t>
  </si>
  <si>
    <t>SALDO (SOBRA)</t>
  </si>
  <si>
    <t>TAXA DE POUPANÇA</t>
  </si>
  <si>
    <t>SCORE DE SAÚDE</t>
  </si>
  <si>
    <t>CASCATA DO MÊS</t>
  </si>
  <si>
    <t>Moradia</t>
  </si>
  <si>
    <t>Poupança</t>
  </si>
  <si>
    <t>Etapa</t>
  </si>
  <si>
    <t>Base</t>
  </si>
  <si>
    <t>Alta</t>
  </si>
  <si>
    <t>Baixa</t>
  </si>
  <si>
    <t>Total</t>
  </si>
  <si>
    <t>Δ</t>
  </si>
  <si>
    <t>Alimentação</t>
  </si>
  <si>
    <t>Investir</t>
  </si>
  <si>
    <t>Renda</t>
  </si>
  <si>
    <t>Transporte</t>
  </si>
  <si>
    <t>Controle</t>
  </si>
  <si>
    <t>Gastos</t>
  </si>
  <si>
    <t>Saúde</t>
  </si>
  <si>
    <t>Baixa dívida</t>
  </si>
  <si>
    <t>Saldo</t>
  </si>
  <si>
    <t>Educação</t>
  </si>
  <si>
    <t>Reserva</t>
  </si>
  <si>
    <t>Lazer</t>
  </si>
  <si>
    <t>Assinaturas</t>
  </si>
  <si>
    <t>Investimentos</t>
  </si>
  <si>
    <t>Dívidas</t>
  </si>
  <si>
    <t>Salário</t>
  </si>
  <si>
    <t>Freelance</t>
  </si>
  <si>
    <t>Outros</t>
  </si>
  <si>
    <t>SPARKLINES HISTÓRICOS</t>
  </si>
  <si>
    <t>PROJEÇÃO DE PATRIMÔNIO (12m)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</si>
  <si>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</si>
  <si>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</si>
  <si>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</si>
  <si>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</si>
  <si>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</si>
  <si>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</si>
  <si>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</si>
  <si>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</si>
  <si>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</si>
  <si>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Poupança %</t>
  </si>
  <si>
    <t>M1</t>
  </si>
  <si>
    <t>Score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</si>
  <si>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</si>
  <si>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</si>
  <si>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</si>
  <si>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</si>
  <si>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</si>
  <si>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</si>
  <si>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</si>
  <si>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</si>
  <si>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</si>
  <si>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</si>
  <si>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</si>
  <si>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CATEGORIAS &amp; PESOS DO DIAGNÓSTICO</t>
  </si>
  <si>
    <t>Categoria</t>
  </si>
  <si>
    <t>Teto ideal %</t>
  </si>
  <si>
    <t>Tipo</t>
  </si>
  <si>
    <t>Tipos de lançamento</t>
  </si>
  <si>
    <t>Essencial</t>
  </si>
  <si>
    <t>Entrada</t>
  </si>
  <si>
    <t>Saída</t>
  </si>
  <si>
    <t>Investimento</t>
  </si>
  <si>
    <t>Estilo de vida</t>
  </si>
  <si>
    <t>Futuro</t>
  </si>
  <si>
    <t>Risco</t>
  </si>
  <si>
    <t>Lançamentos</t>
  </si>
  <si>
    <t>Preencha aqui — o diagnóstico calcula sozinho</t>
  </si>
  <si>
    <t>Data</t>
  </si>
  <si>
    <t>Descrição</t>
  </si>
  <si>
    <t>Alerta teto</t>
  </si>
  <si>
    <t>Salário mensal</t>
  </si>
  <si>
    <t>Aluguel + condomínio</t>
  </si>
  <si>
    <t>Mercado do mês</t>
  </si>
  <si>
    <t>Softwares e streaming</t>
  </si>
  <si>
    <t>Combustível + app</t>
  </si>
  <si>
    <t>Projeto avulso</t>
  </si>
  <si>
    <t>Restaurantes</t>
  </si>
  <si>
    <t>Plano + farmácia</t>
  </si>
  <si>
    <t>Aporte carteira</t>
  </si>
  <si>
    <t>Cartão parcelado</t>
  </si>
  <si>
    <t>Projeção de Patrimônio</t>
  </si>
  <si>
    <t>Sobra mensal reinvestida</t>
  </si>
  <si>
    <t>Aporte mensal</t>
  </si>
  <si>
    <t>Rend. a.m.</t>
  </si>
  <si>
    <t>Inicial</t>
  </si>
  <si>
    <t>Mês</t>
  </si>
  <si>
    <t>Patrimônio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</si>
</sst>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/mm"/>
    <numFmt numFmtId="166" formatCode="&quot;R$&quot;\ #,##0"/>
    <numFmt numFmtId="167" formatCode="0.0%"/>
    <numFmt numFmtId="168" formatCode="#,##0;\(#,##0\);&quot;—&quot;"/>
    <numFmt numFmtId="169" formatCode="#,##0.0;\(#,##0.0\);&quot;—&quot;"/>
  </numFmts>
  <fonts count="23" x14ac:knownFonts="1">
    <font>
      <sz val="11"/>
      <color theme="1"/>
      <name val="Calibri"/>
      <family val="2"/>
      <scheme val="minor"/>
    </font>
    <font>
      <b/>
      <sz val="9"/>
      <color rgb="FFC99C66"/>
      <name val="Calibri"/>
    </font>
    <font>
      <b/>
      <sz val="8"/>
      <color rgb="FFF3ECDD"/>
      <name val="Calibri"/>
    </font>
    <font>
      <sz val="10"/>
      <color rgb="FFF3ECDD"/>
      <name val="Calibri"/>
    </font>
    <font>
      <sz val="10"/>
      <color rgb="FF8A9691"/>
      <name val="Calibri"/>
    </font>
    <font>
      <b/>
      <sz val="8"/>
      <color rgb="FFC99C66"/>
      <name val="Calibri"/>
    </font>
    <font>
      <b/>
      <sz val="22"/>
      <color rgb="FFF3ECDD"/>
      <name val="Calibri"/>
    </font>
    <font>
      <i/>
      <sz val="9"/>
      <color rgb="FF8A9691"/>
      <name val="Calibri"/>
    </font>
    <font>
      <b/>
      <sz val="11"/>
      <color rgb="FF43D07F"/>
      <name val="Calibri"/>
    </font>
    <font>
      <b/>
      <sz val="11"/>
      <color rgb="FFF3ECDD"/>
      <name val="Calibri"/>
    </font>
    <font>
      <sz val="10"/>
      <color rgb="FF43D07F"/>
      <name val="Calibri"/>
    </font>
    <font>
      <b/>
      <sz val="7"/>
      <color rgb="FF8A9691"/>
      <name val="Calibri"/>
    </font>
    <font>
      <b/>
      <sz val="18"/>
      <color rgb="FFC99C66"/>
      <name val="Calibri"/>
    </font>
    <font>
      <i/>
      <sz val="7"/>
      <color rgb="FF8A9691"/>
      <name val="Calibri"/>
    </font>
    <font>
      <b/>
      <sz val="18"/>
      <color rgb="FFE0A94B"/>
      <name val="Calibri"/>
    </font>
    <font>
      <b/>
      <sz val="18"/>
      <color rgb="FF43D07F"/>
      <name val="Calibri"/>
    </font>
    <font>
      <b/>
      <sz val="10"/>
      <color rgb="FFF3ECDD"/>
      <name val="Calibri"/>
    </font>
    <font>
      <sz val="8"/>
      <color rgb="FFF3ECDD"/>
      <name val="Calibri"/>
    </font>
    <font>
      <sz val="8"/>
      <color rgb="FF8A9691"/>
      <name val="Calibri"/>
    </font>
    <font>
      <sz val="8"/>
      <color rgb="FF0B1210"/>
      <name val="Calibri"/>
    </font>
    <font>
      <sz val="7"/>
      <color rgb="FF8A9691"/>
      <name val="Calibri"/>
    </font>
    <font>
      <sz val="8"/>
      <color rgb="FFC99C66"/>
      <name val="Calibri"/>
    </font>
    <font>
      <sz val="7"/>
      <color rgb="FF43D0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210"/>
      </patternFill>
    </fill>
    <fill>
      <patternFill patternType="solid">
        <fgColor rgb="FF121C18"/>
      </patternFill>
    </fill>
    <fill>
      <patternFill patternType="solid">
        <fgColor rgb="FF182620"/>
      </patternFill>
    </fill>
    <fill>
      <patternFill patternType="solid">
        <fgColor rgb="FF1E3028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9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/>
    <xf numFmtId="168" fontId="18" fillId="2" borderId="1" xfId="0" applyNumberFormat="1" applyFont="1" applyFill="1" applyBorder="1"/>
    <xf numFmtId="168" fontId="5" fillId="2" borderId="1" xfId="0" applyNumberFormat="1" applyFont="1" applyFill="1" applyBorder="1"/>
    <xf numFmtId="169" fontId="1" fillId="2" borderId="1" xfId="0" applyNumberFormat="1" applyFont="1" applyFill="1" applyBorder="1"/>
    <xf numFmtId="1" fontId="20" fillId="2" borderId="1" xfId="0" applyNumberFormat="1" applyFont="1" applyFill="1" applyBorder="1"/>
    <xf numFmtId="169" fontId="21" fillId="2" borderId="1" xfId="0" applyNumberFormat="1" applyFont="1" applyFill="1" applyBorder="1"/>
    <xf numFmtId="0" fontId="22" fillId="2" borderId="1" xfId="0" applyFont="1" applyFill="1" applyBorder="1" applyAlignment="1">
      <alignment horizontal="center" vertical="center"/>
    </xf>
    <xf numFmtId="0" fontId="20" fillId="2" borderId="1" xfId="0" applyFont="1" applyFill="1" applyBorder="1"/>
    <xf numFmtId="0" fontId="22" fillId="2" borderId="1" xfId="0" applyFont="1" applyFill="1" applyBorder="1"/>
    <xf numFmtId="0" fontId="1" fillId="2" borderId="0" xfId="0" applyFont="1" applyFill="1"/>
    <xf numFmtId="0" fontId="3" fillId="2" borderId="0" xfId="0" applyFont="1" applyFill="1"/>
    <xf numFmtId="9" fontId="3" fillId="2" borderId="0" xfId="0" applyNumberFormat="1" applyFont="1" applyFill="1"/>
    <xf numFmtId="0" fontId="4" fillId="2" borderId="0" xfId="0" applyFont="1" applyFill="1"/>
    <xf numFmtId="165" fontId="3" fillId="2" borderId="1" xfId="0" applyNumberFormat="1" applyFont="1" applyFill="1" applyBorder="1"/>
    <xf numFmtId="0" fontId="3" fillId="2" borderId="1" xfId="0" applyFont="1" applyFill="1" applyBorder="1"/>
    <xf numFmtId="166" fontId="3" fillId="2" borderId="1" xfId="0" applyNumberFormat="1" applyFont="1" applyFill="1" applyBorder="1"/>
    <xf numFmtId="166" fontId="8" fillId="2" borderId="0" xfId="0" applyNumberFormat="1" applyFont="1" applyFill="1"/>
    <xf numFmtId="167" fontId="9" fillId="2" borderId="0" xfId="0" applyNumberFormat="1" applyFont="1" applyFill="1"/>
    <xf numFmtId="166" fontId="9" fillId="2" borderId="0" xfId="0" applyNumberFormat="1" applyFont="1" applyFill="1"/>
    <xf numFmtId="166" fontId="10" fillId="2" borderId="0" xfId="0" applyNumberFormat="1" applyFont="1" applyFill="1"/>
    <xf numFmtId="0" fontId="1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6" fillId="4" borderId="1" xfId="0" applyFont="1" applyFill="1" applyBorder="1" applyAlignment="1">
      <alignment horizontal="left" vertical="center" indent="1"/>
    </xf>
    <xf numFmtId="166" fontId="15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166" fontId="14" fillId="5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167" fontId="15" fillId="5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66" fontId="12" fillId="5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3">
    <dxf>
      <font>
        <b/>
        <sz val="10"/>
        <color rgb="FFFFFFFF"/>
        <name val="Calibri"/>
      </font>
      <fill>
        <patternFill patternType="solid">
          <fgColor rgb="FFD9534F"/>
        </patternFill>
      </fill>
    </dxf>
    <dxf>
      <font>
        <b/>
        <sz val="8"/>
        <color rgb="FFD9534F"/>
        <name val="Calibri"/>
      </font>
    </dxf>
    <dxf>
      <font>
        <b/>
        <sz val="8"/>
        <color rgb="FF43D07F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Renda → Saldo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Renda</c:v>
                </c:pt>
                <c:pt idx="1">
                  <c:v>Gastos</c:v>
                </c:pt>
                <c:pt idx="2">
                  <c:v>Saldo</c:v>
                </c:pt>
              </c:strCache>
            </c:strRef>
          </c:cat>
          <c:val>
            <c:numRef>
              <c:f>DASHBOARD!$C$13:$C$15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3470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2-421E-85DB-C0761B3F3696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Renda</c:v>
                </c:pt>
                <c:pt idx="1">
                  <c:v>Gastos</c:v>
                </c:pt>
                <c:pt idx="2">
                  <c:v>Saldo</c:v>
                </c:pt>
              </c:strCache>
            </c:strRef>
          </c:cat>
          <c:val>
            <c:numRef>
              <c:f>DASHBOARD!$D$13:$D$15</c:f>
              <c:numCache>
                <c:formatCode>#,##0;\(#,##0\);"—"</c:formatCode>
                <c:ptCount val="3"/>
                <c:pt idx="0">
                  <c:v>11600</c:v>
                </c:pt>
                <c:pt idx="1">
                  <c:v>0</c:v>
                </c:pt>
                <c:pt idx="2">
                  <c:v>3470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FE2-421E-85DB-C0761B3F3696}"/>
            </c:ext>
          </c:extLst>
        </c:ser>
        <c:ser>
          <c:idx val="2"/>
          <c:order val="2"/>
          <c:tx>
            <c:strRef>
              <c:f>DASHBOARD!$E$12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Renda</c:v>
                </c:pt>
                <c:pt idx="1">
                  <c:v>Gastos</c:v>
                </c:pt>
                <c:pt idx="2">
                  <c:v>Saldo</c:v>
                </c:pt>
              </c:strCache>
            </c:strRef>
          </c:cat>
          <c:val>
            <c:numRef>
              <c:f>DASHBOARD!$E$13:$E$15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8130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FE2-421E-85DB-C0761B3F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DASHBOARD!$S$11</c:f>
              <c:strCache>
                <c:ptCount val="1"/>
                <c:pt idx="0">
                  <c:v>2450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DASHBOARD!$R$11:$R$22</c:f>
              <c:strCache>
                <c:ptCount val="12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Lazer</c:v>
                </c:pt>
                <c:pt idx="6">
                  <c:v>Assinaturas</c:v>
                </c:pt>
                <c:pt idx="7">
                  <c:v>Investimentos</c:v>
                </c:pt>
                <c:pt idx="8">
                  <c:v>Dívidas</c:v>
                </c:pt>
                <c:pt idx="9">
                  <c:v>Salário</c:v>
                </c:pt>
                <c:pt idx="10">
                  <c:v>Freelance</c:v>
                </c:pt>
                <c:pt idx="11">
                  <c:v>Outros</c:v>
                </c:pt>
              </c:strCache>
            </c:strRef>
          </c:cat>
          <c:val>
            <c:numRef>
              <c:f>DASHBOARD!$S$12:$S$22</c:f>
              <c:numCache>
                <c:formatCode>General</c:formatCode>
                <c:ptCount val="11"/>
                <c:pt idx="0">
                  <c:v>1180</c:v>
                </c:pt>
                <c:pt idx="1">
                  <c:v>560</c:v>
                </c:pt>
                <c:pt idx="2">
                  <c:v>540</c:v>
                </c:pt>
                <c:pt idx="3">
                  <c:v>0</c:v>
                </c:pt>
                <c:pt idx="4">
                  <c:v>680</c:v>
                </c:pt>
                <c:pt idx="5">
                  <c:v>320</c:v>
                </c:pt>
                <c:pt idx="6">
                  <c:v>1500</c:v>
                </c:pt>
                <c:pt idx="7">
                  <c:v>900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E-4C57-A706-DD0053A83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  <c:spPr>
        <a:solidFill>
          <a:srgbClr val="0E1713"/>
        </a:solidFill>
        <a:ln>
          <a:prstDash val="solid"/>
        </a:ln>
      </c:spPr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Raio-X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DASHBOARD!$U$11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DASHBOARD!$T$11:$T$15</c:f>
              <c:strCache>
                <c:ptCount val="5"/>
                <c:pt idx="0">
                  <c:v>Poupança</c:v>
                </c:pt>
                <c:pt idx="1">
                  <c:v>Investir</c:v>
                </c:pt>
                <c:pt idx="2">
                  <c:v>Controle</c:v>
                </c:pt>
                <c:pt idx="3">
                  <c:v>Baixa dívida</c:v>
                </c:pt>
                <c:pt idx="4">
                  <c:v>Reserva</c:v>
                </c:pt>
              </c:strCache>
            </c:strRef>
          </c:cat>
          <c:val>
            <c:numRef>
              <c:f>DASHBOARD!$U$12:$U$15</c:f>
              <c:numCache>
                <c:formatCode>General</c:formatCode>
                <c:ptCount val="4"/>
                <c:pt idx="0">
                  <c:v>51.724137931034484</c:v>
                </c:pt>
                <c:pt idx="1">
                  <c:v>75.896551724137922</c:v>
                </c:pt>
                <c:pt idx="2">
                  <c:v>76.724137931034477</c:v>
                </c:pt>
                <c:pt idx="3">
                  <c:v>42.681426814268143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8-4EDF-8345-7C11950B3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000">
              <a:solidFill>
                <a:srgbClr val="C99C66"/>
              </a:solidFill>
              <a:prstDash val="solid"/>
            </a:ln>
          </c:spPr>
          <c:marker>
            <c:symbol val="none"/>
          </c:marker>
          <c:cat>
            <c:strRef>
              <c:f>DASHBOARD!$H$27:$H$38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DASHBOARD!$I$27:$I$38</c:f>
              <c:numCache>
                <c:formatCode>#,##0.0;\(#,##0.0\);"—"</c:formatCode>
                <c:ptCount val="12"/>
                <c:pt idx="0">
                  <c:v>8510</c:v>
                </c:pt>
                <c:pt idx="1">
                  <c:v>12048.08</c:v>
                </c:pt>
                <c:pt idx="2">
                  <c:v>15614.46464</c:v>
                </c:pt>
                <c:pt idx="3">
                  <c:v>19209.380357120001</c:v>
                </c:pt>
                <c:pt idx="4">
                  <c:v>22833.055399976962</c:v>
                </c:pt>
                <c:pt idx="5">
                  <c:v>26485.719843176779</c:v>
                </c:pt>
                <c:pt idx="6">
                  <c:v>30167.605601922194</c:v>
                </c:pt>
                <c:pt idx="7">
                  <c:v>33878.946446737573</c:v>
                </c:pt>
                <c:pt idx="8">
                  <c:v>37619.978018311471</c:v>
                </c:pt>
                <c:pt idx="9">
                  <c:v>41390.937842457963</c:v>
                </c:pt>
                <c:pt idx="10">
                  <c:v>45192.065345197625</c:v>
                </c:pt>
                <c:pt idx="11">
                  <c:v>49023.601867959209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32-4958-B124-BD990526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2700000" cy="151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10</xdr:row>
      <xdr:rowOff>0</xdr:rowOff>
    </xdr:from>
    <xdr:ext cx="2340000" cy="187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10</xdr:row>
      <xdr:rowOff>0</xdr:rowOff>
    </xdr:from>
    <xdr:ext cx="2340000" cy="187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1980000" cy="1007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7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" customWidth="1"/>
    <col min="2" max="12" width="14" customWidth="1"/>
    <col min="26" max="31" width="13" hidden="1" customWidth="1"/>
  </cols>
  <sheetData>
    <row r="1" spans="1:21" ht="14" customHeight="1" x14ac:dyDescent="0.45">
      <c r="A1" s="39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"/>
      <c r="N1" s="1"/>
    </row>
    <row r="2" spans="1:21" ht="28.05" customHeight="1" x14ac:dyDescent="0.45">
      <c r="A2" s="35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1"/>
      <c r="N2" s="1"/>
    </row>
    <row r="3" spans="1:21" ht="14" customHeight="1" x14ac:dyDescent="0.4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1"/>
      <c r="N3" s="1"/>
    </row>
    <row r="4" spans="1:2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1" ht="13.05" customHeight="1" x14ac:dyDescent="0.45">
      <c r="A5" s="1"/>
      <c r="B5" s="27" t="s">
        <v>3</v>
      </c>
      <c r="C5" s="28"/>
      <c r="D5" s="27" t="s">
        <v>4</v>
      </c>
      <c r="E5" s="28"/>
      <c r="F5" s="27" t="s">
        <v>5</v>
      </c>
      <c r="G5" s="28"/>
      <c r="H5" s="27" t="s">
        <v>6</v>
      </c>
      <c r="I5" s="28"/>
      <c r="J5" s="27" t="s">
        <v>7</v>
      </c>
      <c r="K5" s="28"/>
      <c r="L5" s="1"/>
      <c r="M5" s="1"/>
      <c r="N5" s="1"/>
    </row>
    <row r="6" spans="1:21" ht="28.05" customHeight="1" x14ac:dyDescent="0.45">
      <c r="A6" s="1"/>
      <c r="B6" s="38">
        <f>Z40</f>
        <v>11600</v>
      </c>
      <c r="C6" s="31"/>
      <c r="D6" s="34">
        <f>Z41</f>
        <v>8130</v>
      </c>
      <c r="E6" s="31"/>
      <c r="F6" s="30">
        <f>Z42</f>
        <v>3470</v>
      </c>
      <c r="G6" s="31"/>
      <c r="H6" s="36">
        <f>Z43</f>
        <v>0.29913793103448277</v>
      </c>
      <c r="I6" s="31"/>
      <c r="J6" s="37">
        <f>Z47</f>
        <v>92</v>
      </c>
      <c r="K6" s="31"/>
      <c r="L6" s="1"/>
      <c r="M6" s="1"/>
      <c r="N6" s="1"/>
    </row>
    <row r="7" spans="1:21" ht="12" customHeight="1" x14ac:dyDescent="0.45">
      <c r="A7" s="1"/>
      <c r="B7" s="25"/>
      <c r="C7" s="26"/>
      <c r="D7" s="25"/>
      <c r="E7" s="26"/>
      <c r="F7" s="25"/>
      <c r="G7" s="26"/>
      <c r="H7" s="25"/>
      <c r="I7" s="26"/>
      <c r="J7" s="25"/>
      <c r="K7" s="26"/>
      <c r="L7" s="1"/>
      <c r="M7" s="1"/>
      <c r="N7" s="1"/>
    </row>
    <row r="8" spans="1:2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1" ht="18" customHeight="1" x14ac:dyDescent="0.45">
      <c r="A9" s="1"/>
      <c r="B9" s="29" t="str">
        <f>IF(Z47&gt;=80,"🟢 Excelente — patrimônio crescendo. Mantenha os aportes.",IF(Z47&gt;=60,"🟡 Saudável — reduza estilo de vida e aumente aportes.",IF(Z47&gt;=40,"🟠 Atenção — controle gastos e comece a investir.","🔴 Crítico — corte dívidas e despesas não essenciais já.")))</f>
        <v>🟢 Excelente — patrimônio crescendo. Mantenha os aportes.</v>
      </c>
      <c r="C9" s="26"/>
      <c r="D9" s="26"/>
      <c r="E9" s="26"/>
      <c r="F9" s="26"/>
      <c r="G9" s="26"/>
      <c r="H9" s="26"/>
      <c r="I9" s="26"/>
      <c r="J9" s="26"/>
      <c r="K9" s="26"/>
      <c r="L9" s="1"/>
      <c r="M9" s="1"/>
      <c r="N9" s="1"/>
    </row>
    <row r="10" spans="1:2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1" x14ac:dyDescent="0.45">
      <c r="A11" s="1"/>
      <c r="B11" s="2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R11" s="3" t="s">
        <v>9</v>
      </c>
      <c r="S11" s="3">
        <f>SUMIFS(LANCAMENTOS!$E:$E,LANCAMENTOS!$B:$B,R11,LANCAMENTOS!$D:$D,"Saída")</f>
        <v>2450</v>
      </c>
      <c r="T11" s="3" t="s">
        <v>10</v>
      </c>
      <c r="U11" s="3">
        <f>MIN(100,MAX(0,Z43)*400)</f>
        <v>100</v>
      </c>
    </row>
    <row r="12" spans="1:21" ht="18" customHeight="1" x14ac:dyDescent="0.45">
      <c r="A12" s="1"/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16</v>
      </c>
      <c r="H12" s="1"/>
      <c r="I12" s="1"/>
      <c r="J12" s="1"/>
      <c r="K12" s="1"/>
      <c r="L12" s="1"/>
      <c r="M12" s="1"/>
      <c r="N12" s="1"/>
      <c r="R12" s="3" t="s">
        <v>17</v>
      </c>
      <c r="S12" s="3">
        <f>SUMIFS(LANCAMENTOS!$E:$E,LANCAMENTOS!$B:$B,R12,LANCAMENTOS!$D:$D,"Saída")</f>
        <v>1180</v>
      </c>
      <c r="T12" s="3" t="s">
        <v>18</v>
      </c>
      <c r="U12" s="3">
        <f>MIN(100,IFERROR(Z44/Z40,0)*400)</f>
        <v>51.724137931034484</v>
      </c>
    </row>
    <row r="13" spans="1:21" x14ac:dyDescent="0.45">
      <c r="A13" s="1"/>
      <c r="B13" s="5" t="s">
        <v>19</v>
      </c>
      <c r="C13" s="6">
        <v>0</v>
      </c>
      <c r="D13" s="6">
        <f>IF(G13&gt;=0,G13,0)</f>
        <v>11600</v>
      </c>
      <c r="E13" s="6">
        <f>IF(G13&lt;0,-G13,0)</f>
        <v>0</v>
      </c>
      <c r="F13" s="6">
        <f>G13</f>
        <v>11600</v>
      </c>
      <c r="G13" s="7">
        <f>$Z$40</f>
        <v>11600</v>
      </c>
      <c r="H13" s="1"/>
      <c r="I13" s="1"/>
      <c r="J13" s="1"/>
      <c r="K13" s="1"/>
      <c r="L13" s="1"/>
      <c r="M13" s="1"/>
      <c r="N13" s="1"/>
      <c r="R13" s="3" t="s">
        <v>20</v>
      </c>
      <c r="S13" s="3">
        <f>SUMIFS(LANCAMENTOS!$E:$E,LANCAMENTOS!$B:$B,R13,LANCAMENTOS!$D:$D,"Saída")</f>
        <v>560</v>
      </c>
      <c r="T13" s="3" t="s">
        <v>21</v>
      </c>
      <c r="U13" s="3">
        <f>MAX(0,100-(Z46-0.5)*120)</f>
        <v>75.896551724137922</v>
      </c>
    </row>
    <row r="14" spans="1:21" x14ac:dyDescent="0.45">
      <c r="A14" s="1"/>
      <c r="B14" s="5" t="s">
        <v>22</v>
      </c>
      <c r="C14" s="6">
        <f>IF(G14&gt;=0,F13,F13+G14)</f>
        <v>3470</v>
      </c>
      <c r="D14" s="6">
        <f>IF(G14&gt;=0,G14,0)</f>
        <v>0</v>
      </c>
      <c r="E14" s="6">
        <f>IF(G14&lt;0,-G14,0)</f>
        <v>8130</v>
      </c>
      <c r="F14" s="6">
        <f>F13+G14</f>
        <v>3470</v>
      </c>
      <c r="G14" s="7">
        <f>-$Z$41</f>
        <v>-8130</v>
      </c>
      <c r="H14" s="1"/>
      <c r="I14" s="1"/>
      <c r="J14" s="1"/>
      <c r="K14" s="1"/>
      <c r="L14" s="1"/>
      <c r="M14" s="1"/>
      <c r="N14" s="1"/>
      <c r="R14" s="3" t="s">
        <v>23</v>
      </c>
      <c r="S14" s="3">
        <f>SUMIFS(LANCAMENTOS!$E:$E,LANCAMENTOS!$B:$B,R14,LANCAMENTOS!$D:$D,"Saída")</f>
        <v>540</v>
      </c>
      <c r="T14" s="3" t="s">
        <v>24</v>
      </c>
      <c r="U14" s="3">
        <f>MAX(0,100-IFERROR(Z45/Z40,0)*300)</f>
        <v>76.724137931034477</v>
      </c>
    </row>
    <row r="15" spans="1:21" x14ac:dyDescent="0.45">
      <c r="A15" s="1"/>
      <c r="B15" s="5" t="s">
        <v>25</v>
      </c>
      <c r="C15" s="6">
        <v>0</v>
      </c>
      <c r="D15" s="6">
        <f>IF(G15&gt;=0,G15,0)</f>
        <v>3470</v>
      </c>
      <c r="E15" s="6">
        <f>IF(G15&lt;0,-G15,0)</f>
        <v>0</v>
      </c>
      <c r="F15" s="6">
        <f>G15</f>
        <v>3470</v>
      </c>
      <c r="G15" s="7">
        <f>$Z$42</f>
        <v>3470</v>
      </c>
      <c r="H15" s="1"/>
      <c r="I15" s="1"/>
      <c r="J15" s="1"/>
      <c r="K15" s="1"/>
      <c r="L15" s="1"/>
      <c r="M15" s="1"/>
      <c r="N15" s="1"/>
      <c r="R15" s="3" t="s">
        <v>26</v>
      </c>
      <c r="S15" s="3">
        <f>SUMIFS(LANCAMENTOS!$E:$E,LANCAMENTOS!$B:$B,R15,LANCAMENTOS!$D:$D,"Saída")</f>
        <v>0</v>
      </c>
      <c r="T15" s="3" t="s">
        <v>27</v>
      </c>
      <c r="U15" s="3">
        <f>MIN(100,IFERROR(Z42/Z41,0)*100)</f>
        <v>42.681426814268143</v>
      </c>
    </row>
    <row r="16" spans="1:2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R16" s="3" t="s">
        <v>28</v>
      </c>
      <c r="S16" s="3">
        <f>SUMIFS(LANCAMENTOS!$E:$E,LANCAMENTOS!$B:$B,R16,LANCAMENTOS!$D:$D,"Saída")</f>
        <v>680</v>
      </c>
    </row>
    <row r="17" spans="1:19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R17" s="3" t="s">
        <v>29</v>
      </c>
      <c r="S17" s="3">
        <f>SUMIFS(LANCAMENTOS!$E:$E,LANCAMENTOS!$B:$B,R17,LANCAMENTOS!$D:$D,"Saída")</f>
        <v>320</v>
      </c>
    </row>
    <row r="18" spans="1:19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R18" s="3" t="s">
        <v>30</v>
      </c>
      <c r="S18" s="3">
        <f>SUMIFS(LANCAMENTOS!$E:$E,LANCAMENTOS!$B:$B,R18,LANCAMENTOS!$D:$D,"Saída")</f>
        <v>1500</v>
      </c>
    </row>
    <row r="19" spans="1:19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R19" s="3" t="s">
        <v>31</v>
      </c>
      <c r="S19" s="3">
        <f>SUMIFS(LANCAMENTOS!$E:$E,LANCAMENTOS!$B:$B,R19,LANCAMENTOS!$D:$D,"Saída")</f>
        <v>900</v>
      </c>
    </row>
    <row r="20" spans="1:19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R20" s="3" t="s">
        <v>32</v>
      </c>
      <c r="S20" s="3">
        <f>SUMIFS(LANCAMENTOS!$E:$E,LANCAMENTOS!$B:$B,R20,LANCAMENTOS!$D:$D,"Saída")</f>
        <v>0</v>
      </c>
    </row>
    <row r="21" spans="1:19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R21" s="3" t="s">
        <v>33</v>
      </c>
      <c r="S21" s="3">
        <f>SUMIFS(LANCAMENTOS!$E:$E,LANCAMENTOS!$B:$B,R21,LANCAMENTOS!$D:$D,"Saída")</f>
        <v>0</v>
      </c>
    </row>
    <row r="22" spans="1:19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R22" s="3" t="s">
        <v>34</v>
      </c>
      <c r="S22" s="3">
        <f>SUMIFS(LANCAMENTOS!$E:$E,LANCAMENTOS!$B:$B,R22,LANCAMENTOS!$D:$D,"Saída")</f>
        <v>0</v>
      </c>
    </row>
    <row r="23" spans="1:19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9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9" x14ac:dyDescent="0.45">
      <c r="A25" s="1"/>
      <c r="B25" s="2" t="s">
        <v>35</v>
      </c>
      <c r="C25" s="1"/>
      <c r="D25" s="1"/>
      <c r="E25" s="1"/>
      <c r="F25" s="1"/>
      <c r="G25" s="1"/>
      <c r="H25" s="2" t="s">
        <v>36</v>
      </c>
      <c r="I25" s="1"/>
      <c r="J25" s="1"/>
      <c r="K25" s="1"/>
      <c r="L25" s="1"/>
      <c r="M25" s="1"/>
      <c r="N25" s="1"/>
    </row>
    <row r="26" spans="1:19" ht="18" customHeight="1" x14ac:dyDescent="0.45">
      <c r="A26" s="1"/>
      <c r="B26" s="4" t="s">
        <v>37</v>
      </c>
      <c r="C26" s="4" t="s">
        <v>38</v>
      </c>
      <c r="D26" s="4" t="s">
        <v>39</v>
      </c>
      <c r="E26" s="4" t="s">
        <v>40</v>
      </c>
      <c r="F26" s="4" t="s">
        <v>41</v>
      </c>
      <c r="G26" s="4" t="s">
        <v>42</v>
      </c>
      <c r="H26" s="4" t="s">
        <v>43</v>
      </c>
      <c r="I26" s="4" t="s">
        <v>44</v>
      </c>
      <c r="J26" s="4" t="s">
        <v>45</v>
      </c>
      <c r="K26" s="1"/>
      <c r="L26" s="1"/>
      <c r="M26" s="1"/>
      <c r="N26" s="1"/>
    </row>
    <row r="27" spans="1:19" x14ac:dyDescent="0.45">
      <c r="A27" s="1"/>
      <c r="B27" s="5" t="s">
        <v>46</v>
      </c>
      <c r="C27" s="8">
        <f>$Z$43*100</f>
        <v>29.913793103448278</v>
      </c>
      <c r="D27" s="9">
        <v>10</v>
      </c>
      <c r="E27" s="9">
        <v>12</v>
      </c>
      <c r="F27" s="9">
        <v>15</v>
      </c>
      <c r="G27" s="9">
        <v>18</v>
      </c>
      <c r="H27" s="9" t="s">
        <v>47</v>
      </c>
      <c r="I27" s="10">
        <f>PROJECAO!B10</f>
        <v>8510</v>
      </c>
      <c r="J27" s="11" t="str">
        <f>IF(OR(I27="",NOT(ISNUMBER(I27))),"",REPT("▬",MAX(1,ROUND((I27-(MIN(I27:I38)))/MAX(0.000000001,(MAX(I27:I38))-(MIN(I27:I38)))*10,0))))</f>
        <v>▬</v>
      </c>
      <c r="K27" s="1"/>
      <c r="L27" s="1"/>
      <c r="M27" s="1"/>
      <c r="N27" s="1"/>
    </row>
    <row r="28" spans="1:19" x14ac:dyDescent="0.45">
      <c r="A28" s="1"/>
      <c r="B28" s="5" t="s">
        <v>48</v>
      </c>
      <c r="C28" s="8">
        <f>$Z$47</f>
        <v>92</v>
      </c>
      <c r="D28" s="9">
        <v>55</v>
      </c>
      <c r="E28" s="9">
        <v>62</v>
      </c>
      <c r="F28" s="9">
        <v>68</v>
      </c>
      <c r="G28" s="9">
        <v>74</v>
      </c>
      <c r="H28" s="9" t="s">
        <v>49</v>
      </c>
      <c r="I28" s="10">
        <f>PROJECAO!B11</f>
        <v>12048.08</v>
      </c>
      <c r="J28" s="11" t="str">
        <f>IF(OR(I28="",NOT(ISNUMBER(I28))),"",REPT("▬",MAX(1,ROUND((I28-(MIN(I27:I38)))/MAX(0.000000001,(MAX(I27:I38))-(MIN(I27:I38)))*10,0))))</f>
        <v>▬</v>
      </c>
      <c r="K28" s="1"/>
      <c r="L28" s="1"/>
      <c r="M28" s="1"/>
      <c r="N28" s="1"/>
    </row>
    <row r="29" spans="1:19" x14ac:dyDescent="0.45">
      <c r="A29" s="1"/>
      <c r="B29" s="5" t="s">
        <v>30</v>
      </c>
      <c r="C29" s="8">
        <f>$Z$44</f>
        <v>1500</v>
      </c>
      <c r="D29" s="9">
        <v>400</v>
      </c>
      <c r="E29" s="9">
        <v>600</v>
      </c>
      <c r="F29" s="9">
        <v>800</v>
      </c>
      <c r="G29" s="9">
        <v>1000</v>
      </c>
      <c r="H29" s="9" t="s">
        <v>50</v>
      </c>
      <c r="I29" s="10">
        <f>PROJECAO!B12</f>
        <v>15614.46464</v>
      </c>
      <c r="J29" s="11" t="str">
        <f>IF(OR(I29="",NOT(ISNUMBER(I29))),"",REPT("▬",MAX(1,ROUND((I29-(MIN(I27:I38)))/MAX(0.000000001,(MAX(I27:I38))-(MIN(I27:I38)))*10,0))))</f>
        <v>▬▬</v>
      </c>
      <c r="K29" s="1"/>
      <c r="L29" s="1"/>
      <c r="M29" s="1"/>
      <c r="N29" s="1"/>
    </row>
    <row r="30" spans="1:19" x14ac:dyDescent="0.45">
      <c r="A30" s="1"/>
      <c r="B30" s="5" t="s">
        <v>31</v>
      </c>
      <c r="C30" s="8">
        <f>$Z$45</f>
        <v>900</v>
      </c>
      <c r="D30" s="9">
        <v>1400</v>
      </c>
      <c r="E30" s="9">
        <v>1200</v>
      </c>
      <c r="F30" s="9">
        <v>1100</v>
      </c>
      <c r="G30" s="9">
        <v>1000</v>
      </c>
      <c r="H30" s="9" t="s">
        <v>51</v>
      </c>
      <c r="I30" s="10">
        <f>PROJECAO!B13</f>
        <v>19209.380357120001</v>
      </c>
      <c r="J30" s="11" t="str">
        <f>IF(OR(I30="",NOT(ISNUMBER(I30))),"",REPT("▬",MAX(1,ROUND((I30-(MIN(I27:I38)))/MAX(0.000000001,(MAX(I27:I38))-(MIN(I27:I38)))*10,0))))</f>
        <v>▬▬▬</v>
      </c>
      <c r="K30" s="1"/>
      <c r="L30" s="1"/>
      <c r="M30" s="1"/>
      <c r="N30" s="1"/>
    </row>
    <row r="31" spans="1:19" x14ac:dyDescent="0.45">
      <c r="A31" s="1"/>
      <c r="B31" s="1"/>
      <c r="C31" s="1"/>
      <c r="D31" s="1"/>
      <c r="E31" s="1"/>
      <c r="F31" s="1"/>
      <c r="G31" s="1"/>
      <c r="H31" s="12" t="s">
        <v>52</v>
      </c>
      <c r="I31" s="10">
        <f>PROJECAO!B14</f>
        <v>22833.055399976962</v>
      </c>
      <c r="J31" s="13" t="str">
        <f>IF(OR(I31="",NOT(ISNUMBER(I31))),"",REPT("▬",MAX(1,ROUND((I31-(MIN(I27:I38)))/MAX(0.000000001,(MAX(I27:I38))-(MIN(I27:I38)))*10,0))))</f>
        <v>▬▬▬▬</v>
      </c>
      <c r="K31" s="1"/>
      <c r="L31" s="1"/>
      <c r="M31" s="1"/>
      <c r="N31" s="1"/>
    </row>
    <row r="32" spans="1:19" x14ac:dyDescent="0.45">
      <c r="A32" s="1"/>
      <c r="B32" s="1"/>
      <c r="C32" s="1"/>
      <c r="D32" s="1"/>
      <c r="E32" s="1"/>
      <c r="F32" s="1"/>
      <c r="G32" s="1"/>
      <c r="H32" s="12" t="s">
        <v>53</v>
      </c>
      <c r="I32" s="10">
        <f>PROJECAO!B15</f>
        <v>26485.719843176779</v>
      </c>
      <c r="J32" s="13" t="str">
        <f>IF(OR(I32="",NOT(ISNUMBER(I32))),"",REPT("▬",MAX(1,ROUND((I32-(MIN(I27:I38)))/MAX(0.000000001,(MAX(I27:I38))-(MIN(I27:I38)))*10,0))))</f>
        <v>▬▬▬▬</v>
      </c>
      <c r="K32" s="1"/>
      <c r="L32" s="1"/>
      <c r="M32" s="1"/>
      <c r="N32" s="1"/>
    </row>
    <row r="33" spans="1:26" x14ac:dyDescent="0.45">
      <c r="A33" s="1"/>
      <c r="B33" s="1"/>
      <c r="C33" s="1"/>
      <c r="D33" s="1"/>
      <c r="E33" s="1"/>
      <c r="F33" s="1"/>
      <c r="G33" s="1"/>
      <c r="H33" s="12" t="s">
        <v>54</v>
      </c>
      <c r="I33" s="10">
        <f>PROJECAO!B16</f>
        <v>30167.605601922194</v>
      </c>
      <c r="J33" s="13" t="str">
        <f>IF(OR(I33="",NOT(ISNUMBER(I33))),"",REPT("▬",MAX(1,ROUND((I33-(MIN(I27:I38)))/MAX(0.000000001,(MAX(I27:I38))-(MIN(I27:I38)))*10,0))))</f>
        <v>▬▬▬▬▬</v>
      </c>
      <c r="K33" s="1"/>
      <c r="L33" s="1"/>
      <c r="M33" s="1"/>
      <c r="N33" s="1"/>
    </row>
    <row r="34" spans="1:26" x14ac:dyDescent="0.45">
      <c r="A34" s="1"/>
      <c r="B34" s="1"/>
      <c r="C34" s="1"/>
      <c r="D34" s="1"/>
      <c r="E34" s="1"/>
      <c r="F34" s="1"/>
      <c r="G34" s="1"/>
      <c r="H34" s="12" t="s">
        <v>55</v>
      </c>
      <c r="I34" s="10">
        <f>PROJECAO!B17</f>
        <v>33878.946446737573</v>
      </c>
      <c r="J34" s="13" t="str">
        <f>IF(OR(I34="",NOT(ISNUMBER(I34))),"",REPT("▬",MAX(1,ROUND((I34-(MIN(I27:I38)))/MAX(0.000000001,(MAX(I27:I38))-(MIN(I27:I38)))*10,0))))</f>
        <v>▬▬▬▬▬▬</v>
      </c>
      <c r="K34" s="1"/>
      <c r="L34" s="1"/>
      <c r="M34" s="1"/>
      <c r="N34" s="1"/>
    </row>
    <row r="35" spans="1:26" x14ac:dyDescent="0.45">
      <c r="A35" s="1"/>
      <c r="B35" s="1"/>
      <c r="C35" s="1"/>
      <c r="D35" s="1"/>
      <c r="E35" s="1"/>
      <c r="F35" s="1"/>
      <c r="G35" s="1"/>
      <c r="H35" s="12" t="s">
        <v>56</v>
      </c>
      <c r="I35" s="10">
        <f>PROJECAO!B18</f>
        <v>37619.978018311471</v>
      </c>
      <c r="J35" s="13" t="str">
        <f>IF(OR(I35="",NOT(ISNUMBER(I35))),"",REPT("▬",MAX(1,ROUND((I35-(MIN(I27:I38)))/MAX(0.000000001,(MAX(I27:I38))-(MIN(I27:I38)))*10,0))))</f>
        <v>▬▬▬▬▬▬▬</v>
      </c>
      <c r="K35" s="1"/>
      <c r="L35" s="1"/>
      <c r="M35" s="1"/>
      <c r="N35" s="1"/>
    </row>
    <row r="36" spans="1:26" x14ac:dyDescent="0.45">
      <c r="A36" s="1"/>
      <c r="B36" s="1"/>
      <c r="C36" s="1"/>
      <c r="D36" s="1"/>
      <c r="E36" s="1"/>
      <c r="F36" s="1"/>
      <c r="G36" s="1"/>
      <c r="H36" s="12" t="s">
        <v>57</v>
      </c>
      <c r="I36" s="10">
        <f>PROJECAO!B19</f>
        <v>41390.937842457963</v>
      </c>
      <c r="J36" s="13" t="str">
        <f>IF(OR(I36="",NOT(ISNUMBER(I36))),"",REPT("▬",MAX(1,ROUND((I36-(MIN(I27:I38)))/MAX(0.000000001,(MAX(I27:I38))-(MIN(I27:I38)))*10,0))))</f>
        <v>▬▬▬▬▬▬▬▬</v>
      </c>
      <c r="K36" s="1"/>
      <c r="L36" s="1"/>
      <c r="M36" s="1"/>
      <c r="N36" s="1"/>
    </row>
    <row r="37" spans="1:26" x14ac:dyDescent="0.45">
      <c r="A37" s="1"/>
      <c r="B37" s="1"/>
      <c r="C37" s="1"/>
      <c r="D37" s="1"/>
      <c r="E37" s="1"/>
      <c r="F37" s="1"/>
      <c r="G37" s="1"/>
      <c r="H37" s="12" t="s">
        <v>58</v>
      </c>
      <c r="I37" s="10">
        <f>PROJECAO!B20</f>
        <v>45192.065345197625</v>
      </c>
      <c r="J37" s="13" t="str">
        <f>IF(OR(I37="",NOT(ISNUMBER(I37))),"",REPT("▬",MAX(1,ROUND((I37-(MIN(I27:I38)))/MAX(0.000000001,(MAX(I27:I38))-(MIN(I27:I38)))*10,0))))</f>
        <v>▬▬▬▬▬▬▬▬▬</v>
      </c>
      <c r="K37" s="1"/>
      <c r="L37" s="1"/>
      <c r="M37" s="1"/>
      <c r="N37" s="1"/>
    </row>
    <row r="38" spans="1:26" x14ac:dyDescent="0.45">
      <c r="A38" s="1"/>
      <c r="B38" s="1"/>
      <c r="C38" s="1"/>
      <c r="D38" s="1"/>
      <c r="E38" s="1"/>
      <c r="F38" s="1"/>
      <c r="G38" s="1"/>
      <c r="H38" s="12" t="s">
        <v>59</v>
      </c>
      <c r="I38" s="10">
        <f>PROJECAO!B21</f>
        <v>49023.601867959209</v>
      </c>
      <c r="J38" s="13" t="str">
        <f>IF(OR(I38="",NOT(ISNUMBER(I38))),"",REPT("▬",MAX(1,ROUND((I38-(MIN(I27:I38)))/MAX(0.000000001,(MAX(I27:I38))-(MIN(I27:I38)))*10,0))))</f>
        <v>▬▬▬▬▬▬▬▬▬▬</v>
      </c>
      <c r="K38" s="1"/>
      <c r="L38" s="1"/>
      <c r="M38" s="1"/>
      <c r="N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Z40">
        <f>SUMIF(LANCAMENTOS!D:D,"Entrada",LANCAMENTOS!E:E)</f>
        <v>11600</v>
      </c>
    </row>
    <row r="41" spans="1:26" x14ac:dyDescent="0.45">
      <c r="Z41">
        <f>SUMIF(LANCAMENTOS!D:D,"Saída",LANCAMENTOS!E:E)</f>
        <v>8130</v>
      </c>
    </row>
    <row r="42" spans="1:26" x14ac:dyDescent="0.45">
      <c r="Z42">
        <f>Z40-Z41</f>
        <v>3470</v>
      </c>
    </row>
    <row r="43" spans="1:26" x14ac:dyDescent="0.45">
      <c r="Z43">
        <f>IFERROR(Z42/Z40,0)</f>
        <v>0.29913793103448277</v>
      </c>
    </row>
    <row r="44" spans="1:26" x14ac:dyDescent="0.45">
      <c r="Z44">
        <f>SUMIF(LANCAMENTOS!B:B,"Investimentos",LANCAMENTOS!E:E)</f>
        <v>1500</v>
      </c>
    </row>
    <row r="45" spans="1:26" x14ac:dyDescent="0.45">
      <c r="Z45">
        <f>SUMIF(LANCAMENTOS!B:B,"Dívidas",LANCAMENTOS!E:E)</f>
        <v>900</v>
      </c>
    </row>
    <row r="46" spans="1:26" x14ac:dyDescent="0.45">
      <c r="Z46">
        <f>IFERROR(Z41/Z40,1)</f>
        <v>0.70086206896551728</v>
      </c>
    </row>
    <row r="47" spans="1:26" x14ac:dyDescent="0.45">
      <c r="Z47">
        <f>ROUND(MAX(0,MIN(100,MIN(40,MAX(0,Z43)*160)+MIN(25,IFERROR(Z44/Z40,0)*250)+MAX(0,20-IFERROR(Z45/Z40,0)*100)+MAX(0,15-(Z46-0.7)*50))),0)</f>
        <v>92</v>
      </c>
    </row>
  </sheetData>
  <mergeCells count="19">
    <mergeCell ref="A1:L1"/>
    <mergeCell ref="D5:E5"/>
    <mergeCell ref="H5:I5"/>
    <mergeCell ref="A2:L2"/>
    <mergeCell ref="H6:I6"/>
    <mergeCell ref="J6:K6"/>
    <mergeCell ref="F5:G5"/>
    <mergeCell ref="D7:E7"/>
    <mergeCell ref="H7:I7"/>
    <mergeCell ref="J7:K7"/>
    <mergeCell ref="B6:C6"/>
    <mergeCell ref="B5:C5"/>
    <mergeCell ref="B7:C7"/>
    <mergeCell ref="J5:K5"/>
    <mergeCell ref="B9:K9"/>
    <mergeCell ref="F6:G6"/>
    <mergeCell ref="A3:L3"/>
    <mergeCell ref="F7:G7"/>
    <mergeCell ref="D6:E6"/>
  </mergeCells>
  <conditionalFormatting sqref="C27:C30">
    <cfRule type="dataBar" priority="3">
      <dataBar>
        <cfvo type="min"/>
        <cfvo type="max"/>
        <color rgb="FFC99C66"/>
      </dataBar>
    </cfRule>
  </conditionalFormatting>
  <conditionalFormatting sqref="G13:G15">
    <cfRule type="cellIs" dxfId="2" priority="1" operator="greaterThan">
      <formula>0</formula>
    </cfRule>
    <cfRule type="cellIs" dxfId="1" priority="2" operator="lessThan">
      <formula>0</formula>
    </cfRule>
  </conditionalFormatting>
  <printOptions horizontalCentered="1"/>
  <pageMargins left="0.25" right="0.25" top="0.3" bottom="0.3" header="0.1" footer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workbookViewId="0"/>
  </sheetViews>
  <sheetFormatPr defaultRowHeight="14.25" x14ac:dyDescent="0.45"/>
  <cols>
    <col min="1" max="1" width="24" customWidth="1"/>
    <col min="2" max="3" width="16" customWidth="1"/>
    <col min="4" max="4" width="40" customWidth="1"/>
  </cols>
  <sheetData>
    <row r="1" spans="1:8" x14ac:dyDescent="0.45">
      <c r="A1" s="2" t="s">
        <v>60</v>
      </c>
      <c r="B1" s="1"/>
      <c r="C1" s="1"/>
      <c r="D1" s="1"/>
      <c r="E1" s="1"/>
      <c r="F1" s="1"/>
      <c r="G1" s="1"/>
      <c r="H1" s="1"/>
    </row>
    <row r="2" spans="1:8" x14ac:dyDescent="0.45">
      <c r="A2" s="1"/>
      <c r="B2" s="1"/>
      <c r="C2" s="1"/>
      <c r="D2" s="1"/>
      <c r="E2" s="1"/>
      <c r="F2" s="1"/>
      <c r="G2" s="1"/>
      <c r="H2" s="1"/>
    </row>
    <row r="3" spans="1:8" ht="18" customHeight="1" x14ac:dyDescent="0.45">
      <c r="A3" s="4" t="s">
        <v>61</v>
      </c>
      <c r="B3" s="4" t="s">
        <v>62</v>
      </c>
      <c r="C3" s="4" t="s">
        <v>63</v>
      </c>
      <c r="D3" s="14" t="s">
        <v>64</v>
      </c>
      <c r="E3" s="1"/>
      <c r="F3" s="1"/>
      <c r="G3" s="1"/>
      <c r="H3" s="1"/>
    </row>
    <row r="4" spans="1:8" x14ac:dyDescent="0.45">
      <c r="A4" s="15" t="s">
        <v>9</v>
      </c>
      <c r="B4" s="16">
        <v>0.3</v>
      </c>
      <c r="C4" s="17" t="s">
        <v>65</v>
      </c>
      <c r="D4" s="15" t="s">
        <v>66</v>
      </c>
      <c r="E4" s="1"/>
      <c r="F4" s="1"/>
      <c r="G4" s="1"/>
      <c r="H4" s="1"/>
    </row>
    <row r="5" spans="1:8" x14ac:dyDescent="0.45">
      <c r="A5" s="15" t="s">
        <v>17</v>
      </c>
      <c r="B5" s="16">
        <v>0.15</v>
      </c>
      <c r="C5" s="17" t="s">
        <v>65</v>
      </c>
      <c r="D5" s="15" t="s">
        <v>67</v>
      </c>
      <c r="E5" s="1"/>
      <c r="F5" s="1"/>
      <c r="G5" s="1"/>
      <c r="H5" s="1"/>
    </row>
    <row r="6" spans="1:8" x14ac:dyDescent="0.45">
      <c r="A6" s="15" t="s">
        <v>20</v>
      </c>
      <c r="B6" s="16">
        <v>0.1</v>
      </c>
      <c r="C6" s="17" t="s">
        <v>65</v>
      </c>
      <c r="D6" s="1"/>
      <c r="E6" s="1"/>
      <c r="F6" s="1"/>
      <c r="G6" s="1"/>
      <c r="H6" s="1"/>
    </row>
    <row r="7" spans="1:8" x14ac:dyDescent="0.45">
      <c r="A7" s="15" t="s">
        <v>23</v>
      </c>
      <c r="B7" s="16">
        <v>0.08</v>
      </c>
      <c r="C7" s="17" t="s">
        <v>65</v>
      </c>
      <c r="D7" s="1"/>
      <c r="E7" s="1"/>
      <c r="F7" s="1"/>
      <c r="G7" s="1"/>
      <c r="H7" s="1"/>
    </row>
    <row r="8" spans="1:8" x14ac:dyDescent="0.45">
      <c r="A8" s="15" t="s">
        <v>26</v>
      </c>
      <c r="B8" s="16">
        <v>0.08</v>
      </c>
      <c r="C8" s="17" t="s">
        <v>68</v>
      </c>
      <c r="D8" s="1"/>
      <c r="E8" s="1"/>
      <c r="F8" s="1"/>
      <c r="G8" s="1"/>
      <c r="H8" s="1"/>
    </row>
    <row r="9" spans="1:8" x14ac:dyDescent="0.45">
      <c r="A9" s="15" t="s">
        <v>28</v>
      </c>
      <c r="B9" s="16">
        <v>0.08</v>
      </c>
      <c r="C9" s="17" t="s">
        <v>69</v>
      </c>
      <c r="D9" s="1"/>
      <c r="E9" s="1"/>
      <c r="F9" s="1"/>
      <c r="G9" s="1"/>
      <c r="H9" s="1"/>
    </row>
    <row r="10" spans="1:8" x14ac:dyDescent="0.45">
      <c r="A10" s="15" t="s">
        <v>29</v>
      </c>
      <c r="B10" s="16">
        <v>0.05</v>
      </c>
      <c r="C10" s="17" t="s">
        <v>69</v>
      </c>
      <c r="D10" s="1"/>
      <c r="E10" s="1"/>
      <c r="F10" s="1"/>
      <c r="G10" s="1"/>
      <c r="H10" s="1"/>
    </row>
    <row r="11" spans="1:8" x14ac:dyDescent="0.45">
      <c r="A11" s="15" t="s">
        <v>30</v>
      </c>
      <c r="B11" s="16">
        <v>0.15</v>
      </c>
      <c r="C11" s="17" t="s">
        <v>70</v>
      </c>
      <c r="D11" s="1"/>
      <c r="E11" s="1"/>
      <c r="F11" s="1"/>
      <c r="G11" s="1"/>
      <c r="H11" s="1"/>
    </row>
    <row r="12" spans="1:8" x14ac:dyDescent="0.45">
      <c r="A12" s="15" t="s">
        <v>31</v>
      </c>
      <c r="B12" s="16">
        <v>0.1</v>
      </c>
      <c r="C12" s="17" t="s">
        <v>71</v>
      </c>
      <c r="D12" s="1"/>
      <c r="E12" s="1"/>
      <c r="F12" s="1"/>
      <c r="G12" s="1"/>
      <c r="H12" s="1"/>
    </row>
    <row r="13" spans="1:8" x14ac:dyDescent="0.45">
      <c r="A13" s="15" t="s">
        <v>32</v>
      </c>
      <c r="B13" s="16">
        <v>0</v>
      </c>
      <c r="C13" s="17" t="s">
        <v>66</v>
      </c>
      <c r="D13" s="1"/>
      <c r="E13" s="1"/>
      <c r="F13" s="1"/>
      <c r="G13" s="1"/>
      <c r="H13" s="1"/>
    </row>
    <row r="14" spans="1:8" x14ac:dyDescent="0.45">
      <c r="A14" s="15" t="s">
        <v>33</v>
      </c>
      <c r="B14" s="16">
        <v>0</v>
      </c>
      <c r="C14" s="17" t="s">
        <v>66</v>
      </c>
      <c r="D14" s="1"/>
      <c r="E14" s="1"/>
      <c r="F14" s="1"/>
      <c r="G14" s="1"/>
      <c r="H14" s="1"/>
    </row>
    <row r="15" spans="1:8" x14ac:dyDescent="0.45">
      <c r="A15" s="15" t="s">
        <v>34</v>
      </c>
      <c r="B15" s="16">
        <v>0.05</v>
      </c>
      <c r="C15" s="17" t="s">
        <v>69</v>
      </c>
      <c r="D15" s="1"/>
      <c r="E15" s="1"/>
      <c r="F15" s="1"/>
      <c r="G15" s="1"/>
      <c r="H15" s="1"/>
    </row>
    <row r="16" spans="1:8" x14ac:dyDescent="0.45">
      <c r="A16" s="1"/>
      <c r="B16" s="1"/>
      <c r="C16" s="1"/>
      <c r="D16" s="1"/>
      <c r="E16" s="1"/>
      <c r="F16" s="1"/>
      <c r="G16" s="1"/>
      <c r="H16" s="1"/>
    </row>
    <row r="17" spans="1:8" x14ac:dyDescent="0.45">
      <c r="A17" s="1"/>
      <c r="B17" s="1"/>
      <c r="C17" s="1"/>
      <c r="D17" s="1"/>
      <c r="E17" s="1"/>
      <c r="F17" s="1"/>
      <c r="G17" s="1"/>
      <c r="H17" s="1"/>
    </row>
    <row r="18" spans="1:8" x14ac:dyDescent="0.45">
      <c r="A18" s="1"/>
      <c r="B18" s="1"/>
      <c r="C18" s="1"/>
      <c r="D18" s="1"/>
      <c r="E18" s="1"/>
      <c r="F18" s="1"/>
      <c r="G18" s="1"/>
      <c r="H18" s="1"/>
    </row>
    <row r="19" spans="1:8" x14ac:dyDescent="0.45">
      <c r="A19" s="1"/>
      <c r="B19" s="1"/>
      <c r="C19" s="1"/>
      <c r="D19" s="1"/>
      <c r="E19" s="1"/>
      <c r="F19" s="1"/>
      <c r="G19" s="1"/>
      <c r="H19" s="1"/>
    </row>
    <row r="20" spans="1:8" x14ac:dyDescent="0.45">
      <c r="A20" s="1"/>
      <c r="B20" s="1"/>
      <c r="C20" s="1"/>
      <c r="D20" s="1"/>
      <c r="E20" s="1"/>
      <c r="F20" s="1"/>
      <c r="G20" s="1"/>
      <c r="H20" s="1"/>
    </row>
    <row r="21" spans="1:8" x14ac:dyDescent="0.45">
      <c r="A21" s="1"/>
      <c r="B21" s="1"/>
      <c r="C21" s="1"/>
      <c r="D21" s="1"/>
      <c r="E21" s="1"/>
      <c r="F21" s="1"/>
      <c r="G21" s="1"/>
      <c r="H21" s="1"/>
    </row>
    <row r="22" spans="1:8" x14ac:dyDescent="0.45">
      <c r="A22" s="1"/>
      <c r="B22" s="1"/>
      <c r="C22" s="1"/>
      <c r="D22" s="1"/>
      <c r="E22" s="1"/>
      <c r="F22" s="1"/>
      <c r="G22" s="1"/>
      <c r="H22" s="1"/>
    </row>
    <row r="23" spans="1:8" x14ac:dyDescent="0.45">
      <c r="A23" s="1"/>
      <c r="B23" s="1"/>
      <c r="C23" s="1"/>
      <c r="D23" s="1"/>
      <c r="E23" s="1"/>
      <c r="F23" s="1"/>
      <c r="G23" s="1"/>
      <c r="H23" s="1"/>
    </row>
    <row r="24" spans="1:8" x14ac:dyDescent="0.45">
      <c r="A24" s="1"/>
      <c r="B24" s="1"/>
      <c r="C24" s="1"/>
      <c r="D24" s="1"/>
      <c r="E24" s="1"/>
      <c r="F24" s="1"/>
      <c r="G24" s="1"/>
      <c r="H24" s="1"/>
    </row>
    <row r="25" spans="1:8" x14ac:dyDescent="0.45">
      <c r="A25" s="1"/>
      <c r="B25" s="1"/>
      <c r="C25" s="1"/>
      <c r="D25" s="1"/>
      <c r="E25" s="1"/>
      <c r="F25" s="1"/>
      <c r="G25" s="1"/>
      <c r="H25" s="1"/>
    </row>
    <row r="26" spans="1:8" x14ac:dyDescent="0.45">
      <c r="A26" s="1"/>
      <c r="B26" s="1"/>
      <c r="C26" s="1"/>
      <c r="D26" s="1"/>
      <c r="E26" s="1"/>
      <c r="F26" s="1"/>
      <c r="G26" s="1"/>
      <c r="H26" s="1"/>
    </row>
    <row r="27" spans="1:8" x14ac:dyDescent="0.45">
      <c r="A27" s="1"/>
      <c r="B27" s="1"/>
      <c r="C27" s="1"/>
      <c r="D27" s="1"/>
      <c r="E27" s="1"/>
      <c r="F27" s="1"/>
      <c r="G27" s="1"/>
      <c r="H27" s="1"/>
    </row>
    <row r="28" spans="1:8" x14ac:dyDescent="0.45">
      <c r="A28" s="1"/>
      <c r="B28" s="1"/>
      <c r="C28" s="1"/>
      <c r="D28" s="1"/>
      <c r="E28" s="1"/>
      <c r="F28" s="1"/>
      <c r="G28" s="1"/>
      <c r="H28" s="1"/>
    </row>
    <row r="29" spans="1:8" x14ac:dyDescent="0.45">
      <c r="A29" s="1"/>
      <c r="B29" s="1"/>
      <c r="C29" s="1"/>
      <c r="D29" s="1"/>
      <c r="E29" s="1"/>
      <c r="F29" s="1"/>
      <c r="G29" s="1"/>
      <c r="H29" s="1"/>
    </row>
    <row r="30" spans="1:8" x14ac:dyDescent="0.45">
      <c r="A30" s="1"/>
      <c r="B30" s="1"/>
      <c r="C30" s="1"/>
      <c r="D30" s="1"/>
      <c r="E30" s="1"/>
      <c r="F30" s="1"/>
      <c r="G30" s="1"/>
      <c r="H30" s="1"/>
    </row>
    <row r="31" spans="1:8" x14ac:dyDescent="0.45">
      <c r="A31" s="1"/>
      <c r="B31" s="1"/>
      <c r="C31" s="1"/>
      <c r="D31" s="1"/>
      <c r="E31" s="1"/>
      <c r="F31" s="1"/>
      <c r="G31" s="1"/>
      <c r="H31" s="1"/>
    </row>
    <row r="32" spans="1:8" x14ac:dyDescent="0.45">
      <c r="A32" s="1"/>
      <c r="B32" s="1"/>
      <c r="C32" s="1"/>
      <c r="D32" s="1"/>
      <c r="E32" s="1"/>
      <c r="F32" s="1"/>
      <c r="G32" s="1"/>
      <c r="H32" s="1"/>
    </row>
    <row r="33" spans="1:8" x14ac:dyDescent="0.45">
      <c r="A33" s="1"/>
      <c r="B33" s="1"/>
      <c r="C33" s="1"/>
      <c r="D33" s="1"/>
      <c r="E33" s="1"/>
      <c r="F33" s="1"/>
      <c r="G33" s="1"/>
      <c r="H33" s="1"/>
    </row>
    <row r="34" spans="1:8" x14ac:dyDescent="0.45">
      <c r="A34" s="1"/>
      <c r="B34" s="1"/>
      <c r="C34" s="1"/>
      <c r="D34" s="1"/>
      <c r="E34" s="1"/>
      <c r="F34" s="1"/>
      <c r="G34" s="1"/>
      <c r="H34" s="1"/>
    </row>
    <row r="35" spans="1:8" x14ac:dyDescent="0.45">
      <c r="A35" s="1"/>
      <c r="B35" s="1"/>
      <c r="C35" s="1"/>
      <c r="D35" s="1"/>
      <c r="E35" s="1"/>
      <c r="F35" s="1"/>
      <c r="G35" s="1"/>
      <c r="H35" s="1"/>
    </row>
    <row r="36" spans="1:8" x14ac:dyDescent="0.45">
      <c r="A36" s="1"/>
      <c r="B36" s="1"/>
      <c r="C36" s="1"/>
      <c r="D36" s="1"/>
      <c r="E36" s="1"/>
      <c r="F36" s="1"/>
      <c r="G36" s="1"/>
      <c r="H36" s="1"/>
    </row>
    <row r="37" spans="1:8" x14ac:dyDescent="0.45">
      <c r="A37" s="1"/>
      <c r="B37" s="1"/>
      <c r="C37" s="1"/>
      <c r="D37" s="1"/>
      <c r="E37" s="1"/>
      <c r="F37" s="1"/>
      <c r="G37" s="1"/>
      <c r="H37" s="1"/>
    </row>
    <row r="38" spans="1:8" x14ac:dyDescent="0.45">
      <c r="A38" s="1"/>
      <c r="B38" s="1"/>
      <c r="C38" s="1"/>
      <c r="D38" s="1"/>
      <c r="E38" s="1"/>
      <c r="F38" s="1"/>
      <c r="G38" s="1"/>
      <c r="H38" s="1"/>
    </row>
    <row r="39" spans="1:8" x14ac:dyDescent="0.45">
      <c r="A39" s="1"/>
      <c r="B39" s="1"/>
      <c r="C39" s="1"/>
      <c r="D39" s="1"/>
      <c r="E39" s="1"/>
      <c r="F39" s="1"/>
      <c r="G39" s="1"/>
      <c r="H39" s="1"/>
    </row>
    <row r="40" spans="1:8" x14ac:dyDescent="0.45">
      <c r="A40" s="1"/>
      <c r="B40" s="1"/>
      <c r="C40" s="1"/>
      <c r="D40" s="1"/>
      <c r="E40" s="1"/>
      <c r="F40" s="1"/>
      <c r="G40" s="1"/>
      <c r="H40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"/>
  <sheetViews>
    <sheetView showGridLines="0" workbookViewId="0"/>
  </sheetViews>
  <sheetFormatPr defaultRowHeight="14.25" x14ac:dyDescent="0.45"/>
  <cols>
    <col min="1" max="1" width="13" customWidth="1"/>
    <col min="2" max="2" width="18" customWidth="1"/>
    <col min="3" max="3" width="30" customWidth="1"/>
    <col min="4" max="4" width="12" customWidth="1"/>
    <col min="5" max="5" width="14" customWidth="1"/>
    <col min="6" max="6" width="16" customWidth="1"/>
  </cols>
  <sheetData>
    <row r="1" spans="1:8" ht="14" customHeight="1" x14ac:dyDescent="0.45">
      <c r="A1" s="39" t="s">
        <v>0</v>
      </c>
      <c r="B1" s="33"/>
      <c r="C1" s="33"/>
      <c r="D1" s="33"/>
      <c r="E1" s="33"/>
      <c r="F1" s="33"/>
      <c r="G1" s="1"/>
      <c r="H1" s="1"/>
    </row>
    <row r="2" spans="1:8" ht="28.05" customHeight="1" x14ac:dyDescent="0.45">
      <c r="A2" s="35" t="s">
        <v>72</v>
      </c>
      <c r="B2" s="33"/>
      <c r="C2" s="33"/>
      <c r="D2" s="33"/>
      <c r="E2" s="33"/>
      <c r="F2" s="33"/>
      <c r="G2" s="1"/>
      <c r="H2" s="1"/>
    </row>
    <row r="3" spans="1:8" ht="14" customHeight="1" x14ac:dyDescent="0.45">
      <c r="A3" s="32" t="s">
        <v>73</v>
      </c>
      <c r="B3" s="33"/>
      <c r="C3" s="33"/>
      <c r="D3" s="33"/>
      <c r="E3" s="33"/>
      <c r="F3" s="33"/>
      <c r="G3" s="1"/>
      <c r="H3" s="1"/>
    </row>
    <row r="4" spans="1:8" x14ac:dyDescent="0.45">
      <c r="A4" s="1"/>
      <c r="B4" s="1"/>
      <c r="C4" s="1"/>
      <c r="D4" s="1"/>
      <c r="E4" s="1"/>
      <c r="F4" s="1"/>
      <c r="G4" s="1"/>
      <c r="H4" s="1"/>
    </row>
    <row r="5" spans="1:8" ht="18" customHeight="1" x14ac:dyDescent="0.45">
      <c r="A5" s="4" t="s">
        <v>74</v>
      </c>
      <c r="B5" s="4" t="s">
        <v>61</v>
      </c>
      <c r="C5" s="4" t="s">
        <v>75</v>
      </c>
      <c r="D5" s="4" t="s">
        <v>63</v>
      </c>
      <c r="E5" s="4" t="s">
        <v>44</v>
      </c>
      <c r="F5" s="4" t="s">
        <v>76</v>
      </c>
      <c r="G5" s="1"/>
      <c r="H5" s="1"/>
    </row>
    <row r="6" spans="1:8" x14ac:dyDescent="0.45">
      <c r="A6" s="18">
        <v>46205</v>
      </c>
      <c r="B6" s="19" t="s">
        <v>32</v>
      </c>
      <c r="C6" s="19" t="s">
        <v>77</v>
      </c>
      <c r="D6" s="19" t="s">
        <v>66</v>
      </c>
      <c r="E6" s="20">
        <v>9200</v>
      </c>
      <c r="F6" s="19" t="str">
        <f>IF(D6&lt;&gt;"Saída","",IF(E6&gt;SUMIF($D$6:$D$205,"Entrada",$E$6:$E$205)*IFERROR(VLOOKUP(B6,CONFIG!$A$4:$B$15,2,0),1),"⚠ teto","ok"))</f>
        <v/>
      </c>
      <c r="G6" s="1"/>
      <c r="H6" s="1"/>
    </row>
    <row r="7" spans="1:8" x14ac:dyDescent="0.45">
      <c r="A7" s="18">
        <v>46206</v>
      </c>
      <c r="B7" s="19" t="s">
        <v>9</v>
      </c>
      <c r="C7" s="19" t="s">
        <v>78</v>
      </c>
      <c r="D7" s="19" t="s">
        <v>67</v>
      </c>
      <c r="E7" s="20">
        <v>2450</v>
      </c>
      <c r="F7" s="19" t="str">
        <f>IF(D7&lt;&gt;"Saída","",IF(E7&gt;SUMIF($D$6:$D$205,"Entrada",$E$6:$E$205)*IFERROR(VLOOKUP(B7,CONFIG!$A$4:$B$15,2,0),1),"⚠ teto","ok"))</f>
        <v>ok</v>
      </c>
      <c r="G7" s="1"/>
      <c r="H7" s="1"/>
    </row>
    <row r="8" spans="1:8" x14ac:dyDescent="0.45">
      <c r="A8" s="18">
        <v>46207</v>
      </c>
      <c r="B8" s="19" t="s">
        <v>17</v>
      </c>
      <c r="C8" s="19" t="s">
        <v>79</v>
      </c>
      <c r="D8" s="19" t="s">
        <v>67</v>
      </c>
      <c r="E8" s="20">
        <v>1180</v>
      </c>
      <c r="F8" s="19" t="str">
        <f>IF(D8&lt;&gt;"Saída","",IF(E8&gt;SUMIF($D$6:$D$205,"Entrada",$E$6:$E$205)*IFERROR(VLOOKUP(B8,CONFIG!$A$4:$B$15,2,0),1),"⚠ teto","ok"))</f>
        <v>ok</v>
      </c>
      <c r="G8" s="1"/>
      <c r="H8" s="1"/>
    </row>
    <row r="9" spans="1:8" x14ac:dyDescent="0.45">
      <c r="A9" s="18">
        <v>46208</v>
      </c>
      <c r="B9" s="19" t="s">
        <v>29</v>
      </c>
      <c r="C9" s="19" t="s">
        <v>80</v>
      </c>
      <c r="D9" s="19" t="s">
        <v>67</v>
      </c>
      <c r="E9" s="20">
        <v>320</v>
      </c>
      <c r="F9" s="19" t="str">
        <f>IF(D9&lt;&gt;"Saída","",IF(E9&gt;SUMIF($D$6:$D$205,"Entrada",$E$6:$E$205)*IFERROR(VLOOKUP(B9,CONFIG!$A$4:$B$15,2,0),1),"⚠ teto","ok"))</f>
        <v>ok</v>
      </c>
      <c r="G9" s="1"/>
      <c r="H9" s="1"/>
    </row>
    <row r="10" spans="1:8" x14ac:dyDescent="0.45">
      <c r="A10" s="18">
        <v>46209</v>
      </c>
      <c r="B10" s="19" t="s">
        <v>20</v>
      </c>
      <c r="C10" s="19" t="s">
        <v>81</v>
      </c>
      <c r="D10" s="19" t="s">
        <v>67</v>
      </c>
      <c r="E10" s="20">
        <v>560</v>
      </c>
      <c r="F10" s="19" t="str">
        <f>IF(D10&lt;&gt;"Saída","",IF(E10&gt;SUMIF($D$6:$D$205,"Entrada",$E$6:$E$205)*IFERROR(VLOOKUP(B10,CONFIG!$A$4:$B$15,2,0),1),"⚠ teto","ok"))</f>
        <v>ok</v>
      </c>
      <c r="G10" s="1"/>
      <c r="H10" s="1"/>
    </row>
    <row r="11" spans="1:8" x14ac:dyDescent="0.45">
      <c r="A11" s="18">
        <v>46210</v>
      </c>
      <c r="B11" s="19" t="s">
        <v>33</v>
      </c>
      <c r="C11" s="19" t="s">
        <v>82</v>
      </c>
      <c r="D11" s="19" t="s">
        <v>66</v>
      </c>
      <c r="E11" s="20">
        <v>2400</v>
      </c>
      <c r="F11" s="19" t="str">
        <f>IF(D11&lt;&gt;"Saída","",IF(E11&gt;SUMIF($D$6:$D$205,"Entrada",$E$6:$E$205)*IFERROR(VLOOKUP(B11,CONFIG!$A$4:$B$15,2,0),1),"⚠ teto","ok"))</f>
        <v/>
      </c>
      <c r="G11" s="1"/>
      <c r="H11" s="1"/>
    </row>
    <row r="12" spans="1:8" x14ac:dyDescent="0.45">
      <c r="A12" s="18">
        <v>46211</v>
      </c>
      <c r="B12" s="19" t="s">
        <v>28</v>
      </c>
      <c r="C12" s="19" t="s">
        <v>83</v>
      </c>
      <c r="D12" s="19" t="s">
        <v>67</v>
      </c>
      <c r="E12" s="20">
        <v>680</v>
      </c>
      <c r="F12" s="19" t="str">
        <f>IF(D12&lt;&gt;"Saída","",IF(E12&gt;SUMIF($D$6:$D$205,"Entrada",$E$6:$E$205)*IFERROR(VLOOKUP(B12,CONFIG!$A$4:$B$15,2,0),1),"⚠ teto","ok"))</f>
        <v>ok</v>
      </c>
      <c r="G12" s="1"/>
      <c r="H12" s="1"/>
    </row>
    <row r="13" spans="1:8" x14ac:dyDescent="0.45">
      <c r="A13" s="18">
        <v>46212</v>
      </c>
      <c r="B13" s="19" t="s">
        <v>23</v>
      </c>
      <c r="C13" s="19" t="s">
        <v>84</v>
      </c>
      <c r="D13" s="19" t="s">
        <v>67</v>
      </c>
      <c r="E13" s="20">
        <v>540</v>
      </c>
      <c r="F13" s="19" t="str">
        <f>IF(D13&lt;&gt;"Saída","",IF(E13&gt;SUMIF($D$6:$D$205,"Entrada",$E$6:$E$205)*IFERROR(VLOOKUP(B13,CONFIG!$A$4:$B$15,2,0),1),"⚠ teto","ok"))</f>
        <v>ok</v>
      </c>
      <c r="G13" s="1"/>
      <c r="H13" s="1"/>
    </row>
    <row r="14" spans="1:8" x14ac:dyDescent="0.45">
      <c r="A14" s="18">
        <v>46214</v>
      </c>
      <c r="B14" s="19" t="s">
        <v>30</v>
      </c>
      <c r="C14" s="19" t="s">
        <v>85</v>
      </c>
      <c r="D14" s="19" t="s">
        <v>67</v>
      </c>
      <c r="E14" s="20">
        <v>1500</v>
      </c>
      <c r="F14" s="19" t="str">
        <f>IF(D14&lt;&gt;"Saída","",IF(E14&gt;SUMIF($D$6:$D$205,"Entrada",$E$6:$E$205)*IFERROR(VLOOKUP(B14,CONFIG!$A$4:$B$15,2,0),1),"⚠ teto","ok"))</f>
        <v>ok</v>
      </c>
      <c r="G14" s="1"/>
      <c r="H14" s="1"/>
    </row>
    <row r="15" spans="1:8" x14ac:dyDescent="0.45">
      <c r="A15" s="18">
        <v>46216</v>
      </c>
      <c r="B15" s="19" t="s">
        <v>31</v>
      </c>
      <c r="C15" s="19" t="s">
        <v>86</v>
      </c>
      <c r="D15" s="19" t="s">
        <v>67</v>
      </c>
      <c r="E15" s="20">
        <v>900</v>
      </c>
      <c r="F15" s="19" t="str">
        <f>IF(D15&lt;&gt;"Saída","",IF(E15&gt;SUMIF($D$6:$D$205,"Entrada",$E$6:$E$205)*IFERROR(VLOOKUP(B15,CONFIG!$A$4:$B$15,2,0),1),"⚠ teto","ok"))</f>
        <v>ok</v>
      </c>
      <c r="G15" s="1"/>
      <c r="H15" s="1"/>
    </row>
    <row r="16" spans="1:8" x14ac:dyDescent="0.45">
      <c r="A16" s="18"/>
      <c r="B16" s="19"/>
      <c r="C16" s="19"/>
      <c r="D16" s="19"/>
      <c r="E16" s="20"/>
      <c r="F16" s="19" t="str">
        <f>IF(D16&lt;&gt;"Saída","",IF(E16&gt;SUMIF($D$6:$D$205,"Entrada",$E$6:$E$205)*IFERROR(VLOOKUP(B16,CONFIG!$A$4:$B$15,2,0),1),"⚠ teto","ok"))</f>
        <v/>
      </c>
      <c r="G16" s="1"/>
      <c r="H16" s="1"/>
    </row>
    <row r="17" spans="1:8" x14ac:dyDescent="0.45">
      <c r="A17" s="18"/>
      <c r="B17" s="19"/>
      <c r="C17" s="19"/>
      <c r="D17" s="19"/>
      <c r="E17" s="20"/>
      <c r="F17" s="19" t="str">
        <f>IF(D17&lt;&gt;"Saída","",IF(E17&gt;SUMIF($D$6:$D$205,"Entrada",$E$6:$E$205)*IFERROR(VLOOKUP(B17,CONFIG!$A$4:$B$15,2,0),1),"⚠ teto","ok"))</f>
        <v/>
      </c>
      <c r="G17" s="1"/>
      <c r="H17" s="1"/>
    </row>
    <row r="18" spans="1:8" x14ac:dyDescent="0.45">
      <c r="A18" s="18"/>
      <c r="B18" s="19"/>
      <c r="C18" s="19"/>
      <c r="D18" s="19"/>
      <c r="E18" s="20"/>
      <c r="F18" s="19" t="str">
        <f>IF(D18&lt;&gt;"Saída","",IF(E18&gt;SUMIF($D$6:$D$205,"Entrada",$E$6:$E$205)*IFERROR(VLOOKUP(B18,CONFIG!$A$4:$B$15,2,0),1),"⚠ teto","ok"))</f>
        <v/>
      </c>
      <c r="G18" s="1"/>
      <c r="H18" s="1"/>
    </row>
    <row r="19" spans="1:8" x14ac:dyDescent="0.45">
      <c r="A19" s="18"/>
      <c r="B19" s="19"/>
      <c r="C19" s="19"/>
      <c r="D19" s="19"/>
      <c r="E19" s="20"/>
      <c r="F19" s="19" t="str">
        <f>IF(D19&lt;&gt;"Saída","",IF(E19&gt;SUMIF($D$6:$D$205,"Entrada",$E$6:$E$205)*IFERROR(VLOOKUP(B19,CONFIG!$A$4:$B$15,2,0),1),"⚠ teto","ok"))</f>
        <v/>
      </c>
      <c r="G19" s="1"/>
      <c r="H19" s="1"/>
    </row>
    <row r="20" spans="1:8" x14ac:dyDescent="0.45">
      <c r="A20" s="18"/>
      <c r="B20" s="19"/>
      <c r="C20" s="19"/>
      <c r="D20" s="19"/>
      <c r="E20" s="20"/>
      <c r="F20" s="19" t="str">
        <f>IF(D20&lt;&gt;"Saída","",IF(E20&gt;SUMIF($D$6:$D$205,"Entrada",$E$6:$E$205)*IFERROR(VLOOKUP(B20,CONFIG!$A$4:$B$15,2,0),1),"⚠ teto","ok"))</f>
        <v/>
      </c>
      <c r="G20" s="1"/>
      <c r="H20" s="1"/>
    </row>
    <row r="21" spans="1:8" x14ac:dyDescent="0.45">
      <c r="A21" s="18"/>
      <c r="B21" s="19"/>
      <c r="C21" s="19"/>
      <c r="D21" s="19"/>
      <c r="E21" s="20"/>
      <c r="F21" s="19" t="str">
        <f>IF(D21&lt;&gt;"Saída","",IF(E21&gt;SUMIF($D$6:$D$205,"Entrada",$E$6:$E$205)*IFERROR(VLOOKUP(B21,CONFIG!$A$4:$B$15,2,0),1),"⚠ teto","ok"))</f>
        <v/>
      </c>
      <c r="G21" s="1"/>
      <c r="H21" s="1"/>
    </row>
    <row r="22" spans="1:8" x14ac:dyDescent="0.45">
      <c r="A22" s="18"/>
      <c r="B22" s="19"/>
      <c r="C22" s="19"/>
      <c r="D22" s="19"/>
      <c r="E22" s="20"/>
      <c r="F22" s="19" t="str">
        <f>IF(D22&lt;&gt;"Saída","",IF(E22&gt;SUMIF($D$6:$D$205,"Entrada",$E$6:$E$205)*IFERROR(VLOOKUP(B22,CONFIG!$A$4:$B$15,2,0),1),"⚠ teto","ok"))</f>
        <v/>
      </c>
      <c r="G22" s="1"/>
      <c r="H22" s="1"/>
    </row>
    <row r="23" spans="1:8" x14ac:dyDescent="0.45">
      <c r="A23" s="18"/>
      <c r="B23" s="19"/>
      <c r="C23" s="19"/>
      <c r="D23" s="19"/>
      <c r="E23" s="20"/>
      <c r="F23" s="19" t="str">
        <f>IF(D23&lt;&gt;"Saída","",IF(E23&gt;SUMIF($D$6:$D$205,"Entrada",$E$6:$E$205)*IFERROR(VLOOKUP(B23,CONFIG!$A$4:$B$15,2,0),1),"⚠ teto","ok"))</f>
        <v/>
      </c>
      <c r="G23" s="1"/>
      <c r="H23" s="1"/>
    </row>
    <row r="24" spans="1:8" x14ac:dyDescent="0.45">
      <c r="A24" s="18"/>
      <c r="B24" s="19"/>
      <c r="C24" s="19"/>
      <c r="D24" s="19"/>
      <c r="E24" s="20"/>
      <c r="F24" s="19" t="str">
        <f>IF(D24&lt;&gt;"Saída","",IF(E24&gt;SUMIF($D$6:$D$205,"Entrada",$E$6:$E$205)*IFERROR(VLOOKUP(B24,CONFIG!$A$4:$B$15,2,0),1),"⚠ teto","ok"))</f>
        <v/>
      </c>
      <c r="G24" s="1"/>
      <c r="H24" s="1"/>
    </row>
    <row r="25" spans="1:8" x14ac:dyDescent="0.45">
      <c r="A25" s="18"/>
      <c r="B25" s="19"/>
      <c r="C25" s="19"/>
      <c r="D25" s="19"/>
      <c r="E25" s="20"/>
      <c r="F25" s="19" t="str">
        <f>IF(D25&lt;&gt;"Saída","",IF(E25&gt;SUMIF($D$6:$D$205,"Entrada",$E$6:$E$205)*IFERROR(VLOOKUP(B25,CONFIG!$A$4:$B$15,2,0),1),"⚠ teto","ok"))</f>
        <v/>
      </c>
      <c r="G25" s="1"/>
      <c r="H25" s="1"/>
    </row>
    <row r="26" spans="1:8" x14ac:dyDescent="0.45">
      <c r="A26" s="18"/>
      <c r="B26" s="19"/>
      <c r="C26" s="19"/>
      <c r="D26" s="19"/>
      <c r="E26" s="20"/>
      <c r="F26" s="19" t="str">
        <f>IF(D26&lt;&gt;"Saída","",IF(E26&gt;SUMIF($D$6:$D$205,"Entrada",$E$6:$E$205)*IFERROR(VLOOKUP(B26,CONFIG!$A$4:$B$15,2,0),1),"⚠ teto","ok"))</f>
        <v/>
      </c>
      <c r="G26" s="1"/>
      <c r="H26" s="1"/>
    </row>
    <row r="27" spans="1:8" x14ac:dyDescent="0.45">
      <c r="A27" s="18"/>
      <c r="B27" s="19"/>
      <c r="C27" s="19"/>
      <c r="D27" s="19"/>
      <c r="E27" s="20"/>
      <c r="F27" s="19" t="str">
        <f>IF(D27&lt;&gt;"Saída","",IF(E27&gt;SUMIF($D$6:$D$205,"Entrada",$E$6:$E$205)*IFERROR(VLOOKUP(B27,CONFIG!$A$4:$B$15,2,0),1),"⚠ teto","ok"))</f>
        <v/>
      </c>
      <c r="G27" s="1"/>
      <c r="H27" s="1"/>
    </row>
    <row r="28" spans="1:8" x14ac:dyDescent="0.45">
      <c r="A28" s="18"/>
      <c r="B28" s="19"/>
      <c r="C28" s="19"/>
      <c r="D28" s="19"/>
      <c r="E28" s="20"/>
      <c r="F28" s="19" t="str">
        <f>IF(D28&lt;&gt;"Saída","",IF(E28&gt;SUMIF($D$6:$D$205,"Entrada",$E$6:$E$205)*IFERROR(VLOOKUP(B28,CONFIG!$A$4:$B$15,2,0),1),"⚠ teto","ok"))</f>
        <v/>
      </c>
      <c r="G28" s="1"/>
      <c r="H28" s="1"/>
    </row>
    <row r="29" spans="1:8" x14ac:dyDescent="0.45">
      <c r="A29" s="18"/>
      <c r="B29" s="19"/>
      <c r="C29" s="19"/>
      <c r="D29" s="19"/>
      <c r="E29" s="20"/>
      <c r="F29" s="19" t="str">
        <f>IF(D29&lt;&gt;"Saída","",IF(E29&gt;SUMIF($D$6:$D$205,"Entrada",$E$6:$E$205)*IFERROR(VLOOKUP(B29,CONFIG!$A$4:$B$15,2,0),1),"⚠ teto","ok"))</f>
        <v/>
      </c>
      <c r="G29" s="1"/>
      <c r="H29" s="1"/>
    </row>
    <row r="30" spans="1:8" x14ac:dyDescent="0.45">
      <c r="A30" s="18"/>
      <c r="B30" s="19"/>
      <c r="C30" s="19"/>
      <c r="D30" s="19"/>
      <c r="E30" s="20"/>
      <c r="F30" s="19" t="str">
        <f>IF(D30&lt;&gt;"Saída","",IF(E30&gt;SUMIF($D$6:$D$205,"Entrada",$E$6:$E$205)*IFERROR(VLOOKUP(B30,CONFIG!$A$4:$B$15,2,0),1),"⚠ teto","ok"))</f>
        <v/>
      </c>
      <c r="G30" s="1"/>
      <c r="H30" s="1"/>
    </row>
    <row r="31" spans="1:8" x14ac:dyDescent="0.45">
      <c r="A31" s="18"/>
      <c r="B31" s="19"/>
      <c r="C31" s="19"/>
      <c r="D31" s="19"/>
      <c r="E31" s="20"/>
      <c r="F31" s="19" t="str">
        <f>IF(D31&lt;&gt;"Saída","",IF(E31&gt;SUMIF($D$6:$D$205,"Entrada",$E$6:$E$205)*IFERROR(VLOOKUP(B31,CONFIG!$A$4:$B$15,2,0),1),"⚠ teto","ok"))</f>
        <v/>
      </c>
      <c r="G31" s="1"/>
      <c r="H31" s="1"/>
    </row>
    <row r="32" spans="1:8" x14ac:dyDescent="0.45">
      <c r="A32" s="18"/>
      <c r="B32" s="19"/>
      <c r="C32" s="19"/>
      <c r="D32" s="19"/>
      <c r="E32" s="20"/>
      <c r="F32" s="19" t="str">
        <f>IF(D32&lt;&gt;"Saída","",IF(E32&gt;SUMIF($D$6:$D$205,"Entrada",$E$6:$E$205)*IFERROR(VLOOKUP(B32,CONFIG!$A$4:$B$15,2,0),1),"⚠ teto","ok"))</f>
        <v/>
      </c>
      <c r="G32" s="1"/>
      <c r="H32" s="1"/>
    </row>
    <row r="33" spans="1:8" x14ac:dyDescent="0.45">
      <c r="A33" s="18"/>
      <c r="B33" s="19"/>
      <c r="C33" s="19"/>
      <c r="D33" s="19"/>
      <c r="E33" s="20"/>
      <c r="F33" s="19" t="str">
        <f>IF(D33&lt;&gt;"Saída","",IF(E33&gt;SUMIF($D$6:$D$205,"Entrada",$E$6:$E$205)*IFERROR(VLOOKUP(B33,CONFIG!$A$4:$B$15,2,0),1),"⚠ teto","ok"))</f>
        <v/>
      </c>
      <c r="G33" s="1"/>
      <c r="H33" s="1"/>
    </row>
    <row r="34" spans="1:8" x14ac:dyDescent="0.45">
      <c r="A34" s="18"/>
      <c r="B34" s="19"/>
      <c r="C34" s="19"/>
      <c r="D34" s="19"/>
      <c r="E34" s="20"/>
      <c r="F34" s="19" t="str">
        <f>IF(D34&lt;&gt;"Saída","",IF(E34&gt;SUMIF($D$6:$D$205,"Entrada",$E$6:$E$205)*IFERROR(VLOOKUP(B34,CONFIG!$A$4:$B$15,2,0),1),"⚠ teto","ok"))</f>
        <v/>
      </c>
      <c r="G34" s="1"/>
      <c r="H34" s="1"/>
    </row>
    <row r="35" spans="1:8" x14ac:dyDescent="0.45">
      <c r="A35" s="18"/>
      <c r="B35" s="19"/>
      <c r="C35" s="19"/>
      <c r="D35" s="19"/>
      <c r="E35" s="20"/>
      <c r="F35" s="19" t="str">
        <f>IF(D35&lt;&gt;"Saída","",IF(E35&gt;SUMIF($D$6:$D$205,"Entrada",$E$6:$E$205)*IFERROR(VLOOKUP(B35,CONFIG!$A$4:$B$15,2,0),1),"⚠ teto","ok"))</f>
        <v/>
      </c>
      <c r="G35" s="1"/>
      <c r="H35" s="1"/>
    </row>
    <row r="36" spans="1:8" x14ac:dyDescent="0.45">
      <c r="A36" s="18"/>
      <c r="B36" s="19"/>
      <c r="C36" s="19"/>
      <c r="D36" s="19"/>
      <c r="E36" s="20"/>
      <c r="F36" s="19" t="str">
        <f>IF(D36&lt;&gt;"Saída","",IF(E36&gt;SUMIF($D$6:$D$205,"Entrada",$E$6:$E$205)*IFERROR(VLOOKUP(B36,CONFIG!$A$4:$B$15,2,0),1),"⚠ teto","ok"))</f>
        <v/>
      </c>
      <c r="G36" s="1"/>
      <c r="H36" s="1"/>
    </row>
    <row r="37" spans="1:8" x14ac:dyDescent="0.45">
      <c r="A37" s="18"/>
      <c r="B37" s="19"/>
      <c r="C37" s="19"/>
      <c r="D37" s="19"/>
      <c r="E37" s="20"/>
      <c r="F37" s="19" t="str">
        <f>IF(D37&lt;&gt;"Saída","",IF(E37&gt;SUMIF($D$6:$D$205,"Entrada",$E$6:$E$205)*IFERROR(VLOOKUP(B37,CONFIG!$A$4:$B$15,2,0),1),"⚠ teto","ok"))</f>
        <v/>
      </c>
      <c r="G37" s="1"/>
      <c r="H37" s="1"/>
    </row>
    <row r="38" spans="1:8" x14ac:dyDescent="0.45">
      <c r="A38" s="18"/>
      <c r="B38" s="19"/>
      <c r="C38" s="19"/>
      <c r="D38" s="19"/>
      <c r="E38" s="20"/>
      <c r="F38" s="19" t="str">
        <f>IF(D38&lt;&gt;"Saída","",IF(E38&gt;SUMIF($D$6:$D$205,"Entrada",$E$6:$E$205)*IFERROR(VLOOKUP(B38,CONFIG!$A$4:$B$15,2,0),1),"⚠ teto","ok"))</f>
        <v/>
      </c>
      <c r="G38" s="1"/>
      <c r="H38" s="1"/>
    </row>
    <row r="39" spans="1:8" x14ac:dyDescent="0.45">
      <c r="A39" s="18"/>
      <c r="B39" s="19"/>
      <c r="C39" s="19"/>
      <c r="D39" s="19"/>
      <c r="E39" s="20"/>
      <c r="F39" s="19" t="str">
        <f>IF(D39&lt;&gt;"Saída","",IF(E39&gt;SUMIF($D$6:$D$205,"Entrada",$E$6:$E$205)*IFERROR(VLOOKUP(B39,CONFIG!$A$4:$B$15,2,0),1),"⚠ teto","ok"))</f>
        <v/>
      </c>
      <c r="G39" s="1"/>
      <c r="H39" s="1"/>
    </row>
    <row r="40" spans="1:8" x14ac:dyDescent="0.45">
      <c r="A40" s="18"/>
      <c r="B40" s="19"/>
      <c r="C40" s="19"/>
      <c r="D40" s="19"/>
      <c r="E40" s="20"/>
      <c r="F40" s="19" t="str">
        <f>IF(D40&lt;&gt;"Saída","",IF(E40&gt;SUMIF($D$6:$D$205,"Entrada",$E$6:$E$205)*IFERROR(VLOOKUP(B40,CONFIG!$A$4:$B$15,2,0),1),"⚠ teto","ok"))</f>
        <v/>
      </c>
      <c r="G40" s="1"/>
      <c r="H40" s="1"/>
    </row>
    <row r="41" spans="1:8" x14ac:dyDescent="0.45">
      <c r="A41" s="18"/>
      <c r="B41" s="19"/>
      <c r="C41" s="19"/>
      <c r="D41" s="19"/>
      <c r="E41" s="20"/>
      <c r="F41" s="19" t="str">
        <f>IF(D41&lt;&gt;"Saída","",IF(E41&gt;SUMIF($D$6:$D$205,"Entrada",$E$6:$E$205)*IFERROR(VLOOKUP(B41,CONFIG!$A$4:$B$15,2,0),1),"⚠ teto","ok"))</f>
        <v/>
      </c>
      <c r="G41" s="1"/>
      <c r="H41" s="1"/>
    </row>
    <row r="42" spans="1:8" x14ac:dyDescent="0.45">
      <c r="A42" s="18"/>
      <c r="B42" s="19"/>
      <c r="C42" s="19"/>
      <c r="D42" s="19"/>
      <c r="E42" s="20"/>
      <c r="F42" s="19" t="str">
        <f>IF(D42&lt;&gt;"Saída","",IF(E42&gt;SUMIF($D$6:$D$205,"Entrada",$E$6:$E$205)*IFERROR(VLOOKUP(B42,CONFIG!$A$4:$B$15,2,0),1),"⚠ teto","ok"))</f>
        <v/>
      </c>
      <c r="G42" s="1"/>
      <c r="H42" s="1"/>
    </row>
    <row r="43" spans="1:8" x14ac:dyDescent="0.45">
      <c r="A43" s="18"/>
      <c r="B43" s="19"/>
      <c r="C43" s="19"/>
      <c r="D43" s="19"/>
      <c r="E43" s="20"/>
      <c r="F43" s="19" t="str">
        <f>IF(D43&lt;&gt;"Saída","",IF(E43&gt;SUMIF($D$6:$D$205,"Entrada",$E$6:$E$205)*IFERROR(VLOOKUP(B43,CONFIG!$A$4:$B$15,2,0),1),"⚠ teto","ok"))</f>
        <v/>
      </c>
      <c r="G43" s="1"/>
      <c r="H43" s="1"/>
    </row>
    <row r="44" spans="1:8" x14ac:dyDescent="0.45">
      <c r="A44" s="18"/>
      <c r="B44" s="19"/>
      <c r="C44" s="19"/>
      <c r="D44" s="19"/>
      <c r="E44" s="20"/>
      <c r="F44" s="19" t="str">
        <f>IF(D44&lt;&gt;"Saída","",IF(E44&gt;SUMIF($D$6:$D$205,"Entrada",$E$6:$E$205)*IFERROR(VLOOKUP(B44,CONFIG!$A$4:$B$15,2,0),1),"⚠ teto","ok"))</f>
        <v/>
      </c>
      <c r="G44" s="1"/>
      <c r="H44" s="1"/>
    </row>
    <row r="45" spans="1:8" x14ac:dyDescent="0.45">
      <c r="A45" s="18"/>
      <c r="B45" s="19"/>
      <c r="C45" s="19"/>
      <c r="D45" s="19"/>
      <c r="E45" s="20"/>
      <c r="F45" s="19" t="str">
        <f>IF(D45&lt;&gt;"Saída","",IF(E45&gt;SUMIF($D$6:$D$205,"Entrada",$E$6:$E$205)*IFERROR(VLOOKUP(B45,CONFIG!$A$4:$B$15,2,0),1),"⚠ teto","ok"))</f>
        <v/>
      </c>
      <c r="G45" s="1"/>
      <c r="H45" s="1"/>
    </row>
    <row r="46" spans="1:8" x14ac:dyDescent="0.45">
      <c r="A46" s="18"/>
      <c r="B46" s="19"/>
      <c r="C46" s="19"/>
      <c r="D46" s="19"/>
      <c r="E46" s="20"/>
      <c r="F46" s="19" t="str">
        <f>IF(D46&lt;&gt;"Saída","",IF(E46&gt;SUMIF($D$6:$D$205,"Entrada",$E$6:$E$205)*IFERROR(VLOOKUP(B46,CONFIG!$A$4:$B$15,2,0),1),"⚠ teto","ok"))</f>
        <v/>
      </c>
      <c r="G46" s="1"/>
      <c r="H46" s="1"/>
    </row>
    <row r="47" spans="1:8" x14ac:dyDescent="0.45">
      <c r="A47" s="18"/>
      <c r="B47" s="19"/>
      <c r="C47" s="19"/>
      <c r="D47" s="19"/>
      <c r="E47" s="20"/>
      <c r="F47" s="19" t="str">
        <f>IF(D47&lt;&gt;"Saída","",IF(E47&gt;SUMIF($D$6:$D$205,"Entrada",$E$6:$E$205)*IFERROR(VLOOKUP(B47,CONFIG!$A$4:$B$15,2,0),1),"⚠ teto","ok"))</f>
        <v/>
      </c>
      <c r="G47" s="1"/>
      <c r="H47" s="1"/>
    </row>
    <row r="48" spans="1:8" x14ac:dyDescent="0.45">
      <c r="A48" s="18"/>
      <c r="B48" s="19"/>
      <c r="C48" s="19"/>
      <c r="D48" s="19"/>
      <c r="E48" s="20"/>
      <c r="F48" s="19" t="str">
        <f>IF(D48&lt;&gt;"Saída","",IF(E48&gt;SUMIF($D$6:$D$205,"Entrada",$E$6:$E$205)*IFERROR(VLOOKUP(B48,CONFIG!$A$4:$B$15,2,0),1),"⚠ teto","ok"))</f>
        <v/>
      </c>
      <c r="G48" s="1"/>
      <c r="H48" s="1"/>
    </row>
    <row r="49" spans="1:8" x14ac:dyDescent="0.45">
      <c r="A49" s="18"/>
      <c r="B49" s="19"/>
      <c r="C49" s="19"/>
      <c r="D49" s="19"/>
      <c r="E49" s="20"/>
      <c r="F49" s="19" t="str">
        <f>IF(D49&lt;&gt;"Saída","",IF(E49&gt;SUMIF($D$6:$D$205,"Entrada",$E$6:$E$205)*IFERROR(VLOOKUP(B49,CONFIG!$A$4:$B$15,2,0),1),"⚠ teto","ok"))</f>
        <v/>
      </c>
      <c r="G49" s="1"/>
      <c r="H49" s="1"/>
    </row>
    <row r="50" spans="1:8" x14ac:dyDescent="0.45">
      <c r="A50" s="18"/>
      <c r="B50" s="19"/>
      <c r="C50" s="19"/>
      <c r="D50" s="19"/>
      <c r="E50" s="20"/>
      <c r="F50" s="19" t="str">
        <f>IF(D50&lt;&gt;"Saída","",IF(E50&gt;SUMIF($D$6:$D$205,"Entrada",$E$6:$E$205)*IFERROR(VLOOKUP(B50,CONFIG!$A$4:$B$15,2,0),1),"⚠ teto","ok"))</f>
        <v/>
      </c>
      <c r="G50" s="1"/>
      <c r="H50" s="1"/>
    </row>
    <row r="51" spans="1:8" x14ac:dyDescent="0.45">
      <c r="A51" s="18"/>
      <c r="B51" s="19"/>
      <c r="C51" s="19"/>
      <c r="D51" s="19"/>
      <c r="E51" s="20"/>
      <c r="F51" s="19" t="str">
        <f>IF(D51&lt;&gt;"Saída","",IF(E51&gt;SUMIF($D$6:$D$205,"Entrada",$E$6:$E$205)*IFERROR(VLOOKUP(B51,CONFIG!$A$4:$B$15,2,0),1),"⚠ teto","ok"))</f>
        <v/>
      </c>
      <c r="G51" s="1"/>
      <c r="H51" s="1"/>
    </row>
    <row r="52" spans="1:8" x14ac:dyDescent="0.45">
      <c r="A52" s="18"/>
      <c r="B52" s="19"/>
      <c r="C52" s="19"/>
      <c r="D52" s="19"/>
      <c r="E52" s="20"/>
      <c r="F52" s="19" t="str">
        <f>IF(D52&lt;&gt;"Saída","",IF(E52&gt;SUMIF($D$6:$D$205,"Entrada",$E$6:$E$205)*IFERROR(VLOOKUP(B52,CONFIG!$A$4:$B$15,2,0),1),"⚠ teto","ok"))</f>
        <v/>
      </c>
      <c r="G52" s="1"/>
      <c r="H52" s="1"/>
    </row>
    <row r="53" spans="1:8" x14ac:dyDescent="0.45">
      <c r="A53" s="18"/>
      <c r="B53" s="19"/>
      <c r="C53" s="19"/>
      <c r="D53" s="19"/>
      <c r="E53" s="20"/>
      <c r="F53" s="19" t="str">
        <f>IF(D53&lt;&gt;"Saída","",IF(E53&gt;SUMIF($D$6:$D$205,"Entrada",$E$6:$E$205)*IFERROR(VLOOKUP(B53,CONFIG!$A$4:$B$15,2,0),1),"⚠ teto","ok"))</f>
        <v/>
      </c>
      <c r="G53" s="1"/>
      <c r="H53" s="1"/>
    </row>
    <row r="54" spans="1:8" x14ac:dyDescent="0.45">
      <c r="A54" s="18"/>
      <c r="B54" s="19"/>
      <c r="C54" s="19"/>
      <c r="D54" s="19"/>
      <c r="E54" s="20"/>
      <c r="F54" s="19" t="str">
        <f>IF(D54&lt;&gt;"Saída","",IF(E54&gt;SUMIF($D$6:$D$205,"Entrada",$E$6:$E$205)*IFERROR(VLOOKUP(B54,CONFIG!$A$4:$B$15,2,0),1),"⚠ teto","ok"))</f>
        <v/>
      </c>
      <c r="G54" s="1"/>
      <c r="H54" s="1"/>
    </row>
    <row r="55" spans="1:8" x14ac:dyDescent="0.45">
      <c r="A55" s="18"/>
      <c r="B55" s="19"/>
      <c r="C55" s="19"/>
      <c r="D55" s="19"/>
      <c r="E55" s="20"/>
      <c r="F55" s="19" t="str">
        <f>IF(D55&lt;&gt;"Saída","",IF(E55&gt;SUMIF($D$6:$D$205,"Entrada",$E$6:$E$205)*IFERROR(VLOOKUP(B55,CONFIG!$A$4:$B$15,2,0),1),"⚠ teto","ok"))</f>
        <v/>
      </c>
      <c r="G55" s="1"/>
      <c r="H55" s="1"/>
    </row>
    <row r="56" spans="1:8" x14ac:dyDescent="0.45">
      <c r="A56" s="18"/>
      <c r="B56" s="19"/>
      <c r="C56" s="19"/>
      <c r="D56" s="19"/>
      <c r="E56" s="20"/>
      <c r="F56" s="19" t="str">
        <f>IF(D56&lt;&gt;"Saída","",IF(E56&gt;SUMIF($D$6:$D$205,"Entrada",$E$6:$E$205)*IFERROR(VLOOKUP(B56,CONFIG!$A$4:$B$15,2,0),1),"⚠ teto","ok"))</f>
        <v/>
      </c>
      <c r="G56" s="1"/>
      <c r="H56" s="1"/>
    </row>
    <row r="57" spans="1:8" x14ac:dyDescent="0.45">
      <c r="A57" s="18"/>
      <c r="B57" s="19"/>
      <c r="C57" s="19"/>
      <c r="D57" s="19"/>
      <c r="E57" s="20"/>
      <c r="F57" s="19" t="str">
        <f>IF(D57&lt;&gt;"Saída","",IF(E57&gt;SUMIF($D$6:$D$205,"Entrada",$E$6:$E$205)*IFERROR(VLOOKUP(B57,CONFIG!$A$4:$B$15,2,0),1),"⚠ teto","ok"))</f>
        <v/>
      </c>
      <c r="G57" s="1"/>
      <c r="H57" s="1"/>
    </row>
    <row r="58" spans="1:8" x14ac:dyDescent="0.45">
      <c r="A58" s="18"/>
      <c r="B58" s="19"/>
      <c r="C58" s="19"/>
      <c r="D58" s="19"/>
      <c r="E58" s="20"/>
      <c r="F58" s="19" t="str">
        <f>IF(D58&lt;&gt;"Saída","",IF(E58&gt;SUMIF($D$6:$D$205,"Entrada",$E$6:$E$205)*IFERROR(VLOOKUP(B58,CONFIG!$A$4:$B$15,2,0),1),"⚠ teto","ok"))</f>
        <v/>
      </c>
      <c r="G58" s="1"/>
      <c r="H58" s="1"/>
    </row>
    <row r="59" spans="1:8" x14ac:dyDescent="0.45">
      <c r="A59" s="18"/>
      <c r="B59" s="19"/>
      <c r="C59" s="19"/>
      <c r="D59" s="19"/>
      <c r="E59" s="20"/>
      <c r="F59" s="19" t="str">
        <f>IF(D59&lt;&gt;"Saída","",IF(E59&gt;SUMIF($D$6:$D$205,"Entrada",$E$6:$E$205)*IFERROR(VLOOKUP(B59,CONFIG!$A$4:$B$15,2,0),1),"⚠ teto","ok"))</f>
        <v/>
      </c>
      <c r="G59" s="1"/>
      <c r="H59" s="1"/>
    </row>
    <row r="60" spans="1:8" x14ac:dyDescent="0.45">
      <c r="A60" s="18"/>
      <c r="B60" s="19"/>
      <c r="C60" s="19"/>
      <c r="D60" s="19"/>
      <c r="E60" s="20"/>
      <c r="F60" s="19" t="str">
        <f>IF(D60&lt;&gt;"Saída","",IF(E60&gt;SUMIF($D$6:$D$205,"Entrada",$E$6:$E$205)*IFERROR(VLOOKUP(B60,CONFIG!$A$4:$B$15,2,0),1),"⚠ teto","ok"))</f>
        <v/>
      </c>
      <c r="G60" s="1"/>
      <c r="H60" s="1"/>
    </row>
    <row r="61" spans="1:8" x14ac:dyDescent="0.45">
      <c r="A61" s="18"/>
      <c r="B61" s="19"/>
      <c r="C61" s="19"/>
      <c r="D61" s="19"/>
      <c r="E61" s="20"/>
      <c r="F61" s="19" t="str">
        <f>IF(D61&lt;&gt;"Saída","",IF(E61&gt;SUMIF($D$6:$D$205,"Entrada",$E$6:$E$205)*IFERROR(VLOOKUP(B61,CONFIG!$A$4:$B$15,2,0),1),"⚠ teto","ok"))</f>
        <v/>
      </c>
      <c r="G61" s="1"/>
      <c r="H61" s="1"/>
    </row>
    <row r="62" spans="1:8" x14ac:dyDescent="0.45">
      <c r="A62" s="18"/>
      <c r="B62" s="19"/>
      <c r="C62" s="19"/>
      <c r="D62" s="19"/>
      <c r="E62" s="20"/>
      <c r="F62" s="19" t="str">
        <f>IF(D62&lt;&gt;"Saída","",IF(E62&gt;SUMIF($D$6:$D$205,"Entrada",$E$6:$E$205)*IFERROR(VLOOKUP(B62,CONFIG!$A$4:$B$15,2,0),1),"⚠ teto","ok"))</f>
        <v/>
      </c>
      <c r="G62" s="1"/>
      <c r="H62" s="1"/>
    </row>
    <row r="63" spans="1:8" x14ac:dyDescent="0.45">
      <c r="A63" s="18"/>
      <c r="B63" s="19"/>
      <c r="C63" s="19"/>
      <c r="D63" s="19"/>
      <c r="E63" s="20"/>
      <c r="F63" s="19" t="str">
        <f>IF(D63&lt;&gt;"Saída","",IF(E63&gt;SUMIF($D$6:$D$205,"Entrada",$E$6:$E$205)*IFERROR(VLOOKUP(B63,CONFIG!$A$4:$B$15,2,0),1),"⚠ teto","ok"))</f>
        <v/>
      </c>
      <c r="G63" s="1"/>
      <c r="H63" s="1"/>
    </row>
    <row r="64" spans="1:8" x14ac:dyDescent="0.45">
      <c r="A64" s="18"/>
      <c r="B64" s="19"/>
      <c r="C64" s="19"/>
      <c r="D64" s="19"/>
      <c r="E64" s="20"/>
      <c r="F64" s="19" t="str">
        <f>IF(D64&lt;&gt;"Saída","",IF(E64&gt;SUMIF($D$6:$D$205,"Entrada",$E$6:$E$205)*IFERROR(VLOOKUP(B64,CONFIG!$A$4:$B$15,2,0),1),"⚠ teto","ok"))</f>
        <v/>
      </c>
      <c r="G64" s="1"/>
      <c r="H64" s="1"/>
    </row>
    <row r="65" spans="1:8" x14ac:dyDescent="0.45">
      <c r="A65" s="18"/>
      <c r="B65" s="19"/>
      <c r="C65" s="19"/>
      <c r="D65" s="19"/>
      <c r="E65" s="20"/>
      <c r="F65" s="19" t="str">
        <f>IF(D65&lt;&gt;"Saída","",IF(E65&gt;SUMIF($D$6:$D$205,"Entrada",$E$6:$E$205)*IFERROR(VLOOKUP(B65,CONFIG!$A$4:$B$15,2,0),1),"⚠ teto","ok"))</f>
        <v/>
      </c>
      <c r="G65" s="1"/>
      <c r="H65" s="1"/>
    </row>
    <row r="66" spans="1:8" x14ac:dyDescent="0.45">
      <c r="A66" s="18"/>
      <c r="B66" s="19"/>
      <c r="C66" s="19"/>
      <c r="D66" s="19"/>
      <c r="E66" s="20"/>
      <c r="F66" s="19" t="str">
        <f>IF(D66&lt;&gt;"Saída","",IF(E66&gt;SUMIF($D$6:$D$205,"Entrada",$E$6:$E$205)*IFERROR(VLOOKUP(B66,CONFIG!$A$4:$B$15,2,0),1),"⚠ teto","ok"))</f>
        <v/>
      </c>
      <c r="G66" s="1"/>
      <c r="H66" s="1"/>
    </row>
    <row r="67" spans="1:8" x14ac:dyDescent="0.45">
      <c r="A67" s="18"/>
      <c r="B67" s="19"/>
      <c r="C67" s="19"/>
      <c r="D67" s="19"/>
      <c r="E67" s="20"/>
      <c r="F67" s="19" t="str">
        <f>IF(D67&lt;&gt;"Saída","",IF(E67&gt;SUMIF($D$6:$D$205,"Entrada",$E$6:$E$205)*IFERROR(VLOOKUP(B67,CONFIG!$A$4:$B$15,2,0),1),"⚠ teto","ok"))</f>
        <v/>
      </c>
      <c r="G67" s="1"/>
      <c r="H67" s="1"/>
    </row>
    <row r="68" spans="1:8" x14ac:dyDescent="0.45">
      <c r="A68" s="18"/>
      <c r="B68" s="19"/>
      <c r="C68" s="19"/>
      <c r="D68" s="19"/>
      <c r="E68" s="20"/>
      <c r="F68" s="19" t="str">
        <f>IF(D68&lt;&gt;"Saída","",IF(E68&gt;SUMIF($D$6:$D$205,"Entrada",$E$6:$E$205)*IFERROR(VLOOKUP(B68,CONFIG!$A$4:$B$15,2,0),1),"⚠ teto","ok"))</f>
        <v/>
      </c>
      <c r="G68" s="1"/>
      <c r="H68" s="1"/>
    </row>
    <row r="69" spans="1:8" x14ac:dyDescent="0.45">
      <c r="A69" s="18"/>
      <c r="B69" s="19"/>
      <c r="C69" s="19"/>
      <c r="D69" s="19"/>
      <c r="E69" s="20"/>
      <c r="F69" s="19" t="str">
        <f>IF(D69&lt;&gt;"Saída","",IF(E69&gt;SUMIF($D$6:$D$205,"Entrada",$E$6:$E$205)*IFERROR(VLOOKUP(B69,CONFIG!$A$4:$B$15,2,0),1),"⚠ teto","ok"))</f>
        <v/>
      </c>
      <c r="G69" s="1"/>
      <c r="H69" s="1"/>
    </row>
    <row r="70" spans="1:8" x14ac:dyDescent="0.45">
      <c r="A70" s="18"/>
      <c r="B70" s="19"/>
      <c r="C70" s="19"/>
      <c r="D70" s="19"/>
      <c r="E70" s="20"/>
      <c r="F70" s="19" t="str">
        <f>IF(D70&lt;&gt;"Saída","",IF(E70&gt;SUMIF($D$6:$D$205,"Entrada",$E$6:$E$205)*IFERROR(VLOOKUP(B70,CONFIG!$A$4:$B$15,2,0),1),"⚠ teto","ok"))</f>
        <v/>
      </c>
      <c r="G70" s="1"/>
      <c r="H70" s="1"/>
    </row>
    <row r="71" spans="1:8" x14ac:dyDescent="0.45">
      <c r="A71" s="18"/>
      <c r="B71" s="19"/>
      <c r="C71" s="19"/>
      <c r="D71" s="19"/>
      <c r="E71" s="20"/>
      <c r="F71" s="19" t="str">
        <f>IF(D71&lt;&gt;"Saída","",IF(E71&gt;SUMIF($D$6:$D$205,"Entrada",$E$6:$E$205)*IFERROR(VLOOKUP(B71,CONFIG!$A$4:$B$15,2,0),1),"⚠ teto","ok"))</f>
        <v/>
      </c>
      <c r="G71" s="1"/>
      <c r="H71" s="1"/>
    </row>
    <row r="72" spans="1:8" x14ac:dyDescent="0.45">
      <c r="A72" s="18"/>
      <c r="B72" s="19"/>
      <c r="C72" s="19"/>
      <c r="D72" s="19"/>
      <c r="E72" s="20"/>
      <c r="F72" s="19" t="str">
        <f>IF(D72&lt;&gt;"Saída","",IF(E72&gt;SUMIF($D$6:$D$205,"Entrada",$E$6:$E$205)*IFERROR(VLOOKUP(B72,CONFIG!$A$4:$B$15,2,0),1),"⚠ teto","ok"))</f>
        <v/>
      </c>
      <c r="G72" s="1"/>
      <c r="H72" s="1"/>
    </row>
    <row r="73" spans="1:8" x14ac:dyDescent="0.45">
      <c r="A73" s="18"/>
      <c r="B73" s="19"/>
      <c r="C73" s="19"/>
      <c r="D73" s="19"/>
      <c r="E73" s="20"/>
      <c r="F73" s="19" t="str">
        <f>IF(D73&lt;&gt;"Saída","",IF(E73&gt;SUMIF($D$6:$D$205,"Entrada",$E$6:$E$205)*IFERROR(VLOOKUP(B73,CONFIG!$A$4:$B$15,2,0),1),"⚠ teto","ok"))</f>
        <v/>
      </c>
      <c r="G73" s="1"/>
      <c r="H73" s="1"/>
    </row>
    <row r="74" spans="1:8" x14ac:dyDescent="0.45">
      <c r="A74" s="18"/>
      <c r="B74" s="19"/>
      <c r="C74" s="19"/>
      <c r="D74" s="19"/>
      <c r="E74" s="20"/>
      <c r="F74" s="19" t="str">
        <f>IF(D74&lt;&gt;"Saída","",IF(E74&gt;SUMIF($D$6:$D$205,"Entrada",$E$6:$E$205)*IFERROR(VLOOKUP(B74,CONFIG!$A$4:$B$15,2,0),1),"⚠ teto","ok"))</f>
        <v/>
      </c>
      <c r="G74" s="1"/>
      <c r="H74" s="1"/>
    </row>
    <row r="75" spans="1:8" x14ac:dyDescent="0.45">
      <c r="A75" s="18"/>
      <c r="B75" s="19"/>
      <c r="C75" s="19"/>
      <c r="D75" s="19"/>
      <c r="E75" s="20"/>
      <c r="F75" s="19" t="str">
        <f>IF(D75&lt;&gt;"Saída","",IF(E75&gt;SUMIF($D$6:$D$205,"Entrada",$E$6:$E$205)*IFERROR(VLOOKUP(B75,CONFIG!$A$4:$B$15,2,0),1),"⚠ teto","ok"))</f>
        <v/>
      </c>
      <c r="G75" s="1"/>
      <c r="H75" s="1"/>
    </row>
    <row r="76" spans="1:8" x14ac:dyDescent="0.45">
      <c r="A76" s="18"/>
      <c r="B76" s="19"/>
      <c r="C76" s="19"/>
      <c r="D76" s="19"/>
      <c r="E76" s="20"/>
      <c r="F76" s="19" t="str">
        <f>IF(D76&lt;&gt;"Saída","",IF(E76&gt;SUMIF($D$6:$D$205,"Entrada",$E$6:$E$205)*IFERROR(VLOOKUP(B76,CONFIG!$A$4:$B$15,2,0),1),"⚠ teto","ok"))</f>
        <v/>
      </c>
      <c r="G76" s="1"/>
      <c r="H76" s="1"/>
    </row>
    <row r="77" spans="1:8" x14ac:dyDescent="0.45">
      <c r="A77" s="18"/>
      <c r="B77" s="19"/>
      <c r="C77" s="19"/>
      <c r="D77" s="19"/>
      <c r="E77" s="20"/>
      <c r="F77" s="19" t="str">
        <f>IF(D77&lt;&gt;"Saída","",IF(E77&gt;SUMIF($D$6:$D$205,"Entrada",$E$6:$E$205)*IFERROR(VLOOKUP(B77,CONFIG!$A$4:$B$15,2,0),1),"⚠ teto","ok"))</f>
        <v/>
      </c>
      <c r="G77" s="1"/>
      <c r="H77" s="1"/>
    </row>
    <row r="78" spans="1:8" x14ac:dyDescent="0.45">
      <c r="A78" s="18"/>
      <c r="B78" s="19"/>
      <c r="C78" s="19"/>
      <c r="D78" s="19"/>
      <c r="E78" s="20"/>
      <c r="F78" s="19" t="str">
        <f>IF(D78&lt;&gt;"Saída","",IF(E78&gt;SUMIF($D$6:$D$205,"Entrada",$E$6:$E$205)*IFERROR(VLOOKUP(B78,CONFIG!$A$4:$B$15,2,0),1),"⚠ teto","ok"))</f>
        <v/>
      </c>
      <c r="G78" s="1"/>
      <c r="H78" s="1"/>
    </row>
    <row r="79" spans="1:8" x14ac:dyDescent="0.45">
      <c r="A79" s="18"/>
      <c r="B79" s="19"/>
      <c r="C79" s="19"/>
      <c r="D79" s="19"/>
      <c r="E79" s="20"/>
      <c r="F79" s="19" t="str">
        <f>IF(D79&lt;&gt;"Saída","",IF(E79&gt;SUMIF($D$6:$D$205,"Entrada",$E$6:$E$205)*IFERROR(VLOOKUP(B79,CONFIG!$A$4:$B$15,2,0),1),"⚠ teto","ok"))</f>
        <v/>
      </c>
      <c r="G79" s="1"/>
      <c r="H79" s="1"/>
    </row>
    <row r="80" spans="1:8" x14ac:dyDescent="0.45">
      <c r="A80" s="18"/>
      <c r="B80" s="19"/>
      <c r="C80" s="19"/>
      <c r="D80" s="19"/>
      <c r="E80" s="20"/>
      <c r="F80" s="19" t="str">
        <f>IF(D80&lt;&gt;"Saída","",IF(E80&gt;SUMIF($D$6:$D$205,"Entrada",$E$6:$E$205)*IFERROR(VLOOKUP(B80,CONFIG!$A$4:$B$15,2,0),1),"⚠ teto","ok"))</f>
        <v/>
      </c>
      <c r="G80" s="1"/>
      <c r="H80" s="1"/>
    </row>
    <row r="81" spans="1:8" x14ac:dyDescent="0.45">
      <c r="A81" s="18"/>
      <c r="B81" s="19"/>
      <c r="C81" s="19"/>
      <c r="D81" s="19"/>
      <c r="E81" s="20"/>
      <c r="F81" s="19" t="str">
        <f>IF(D81&lt;&gt;"Saída","",IF(E81&gt;SUMIF($D$6:$D$205,"Entrada",$E$6:$E$205)*IFERROR(VLOOKUP(B81,CONFIG!$A$4:$B$15,2,0),1),"⚠ teto","ok"))</f>
        <v/>
      </c>
      <c r="G81" s="1"/>
      <c r="H81" s="1"/>
    </row>
    <row r="82" spans="1:8" x14ac:dyDescent="0.45">
      <c r="A82" s="18"/>
      <c r="B82" s="19"/>
      <c r="C82" s="19"/>
      <c r="D82" s="19"/>
      <c r="E82" s="20"/>
      <c r="F82" s="19" t="str">
        <f>IF(D82&lt;&gt;"Saída","",IF(E82&gt;SUMIF($D$6:$D$205,"Entrada",$E$6:$E$205)*IFERROR(VLOOKUP(B82,CONFIG!$A$4:$B$15,2,0),1),"⚠ teto","ok"))</f>
        <v/>
      </c>
      <c r="G82" s="1"/>
      <c r="H82" s="1"/>
    </row>
    <row r="83" spans="1:8" x14ac:dyDescent="0.45">
      <c r="A83" s="18"/>
      <c r="B83" s="19"/>
      <c r="C83" s="19"/>
      <c r="D83" s="19"/>
      <c r="E83" s="20"/>
      <c r="F83" s="19" t="str">
        <f>IF(D83&lt;&gt;"Saída","",IF(E83&gt;SUMIF($D$6:$D$205,"Entrada",$E$6:$E$205)*IFERROR(VLOOKUP(B83,CONFIG!$A$4:$B$15,2,0),1),"⚠ teto","ok"))</f>
        <v/>
      </c>
      <c r="G83" s="1"/>
      <c r="H83" s="1"/>
    </row>
    <row r="84" spans="1:8" x14ac:dyDescent="0.45">
      <c r="A84" s="18"/>
      <c r="B84" s="19"/>
      <c r="C84" s="19"/>
      <c r="D84" s="19"/>
      <c r="E84" s="20"/>
      <c r="F84" s="19" t="str">
        <f>IF(D84&lt;&gt;"Saída","",IF(E84&gt;SUMIF($D$6:$D$205,"Entrada",$E$6:$E$205)*IFERROR(VLOOKUP(B84,CONFIG!$A$4:$B$15,2,0),1),"⚠ teto","ok"))</f>
        <v/>
      </c>
      <c r="G84" s="1"/>
      <c r="H84" s="1"/>
    </row>
    <row r="85" spans="1:8" x14ac:dyDescent="0.45">
      <c r="A85" s="18"/>
      <c r="B85" s="19"/>
      <c r="C85" s="19"/>
      <c r="D85" s="19"/>
      <c r="E85" s="20"/>
      <c r="F85" s="19" t="str">
        <f>IF(D85&lt;&gt;"Saída","",IF(E85&gt;SUMIF($D$6:$D$205,"Entrada",$E$6:$E$205)*IFERROR(VLOOKUP(B85,CONFIG!$A$4:$B$15,2,0),1),"⚠ teto","ok"))</f>
        <v/>
      </c>
      <c r="G85" s="1"/>
      <c r="H85" s="1"/>
    </row>
    <row r="86" spans="1:8" x14ac:dyDescent="0.45">
      <c r="A86" s="18"/>
      <c r="B86" s="19"/>
      <c r="C86" s="19"/>
      <c r="D86" s="19"/>
      <c r="E86" s="20"/>
      <c r="F86" s="19" t="str">
        <f>IF(D86&lt;&gt;"Saída","",IF(E86&gt;SUMIF($D$6:$D$205,"Entrada",$E$6:$E$205)*IFERROR(VLOOKUP(B86,CONFIG!$A$4:$B$15,2,0),1),"⚠ teto","ok"))</f>
        <v/>
      </c>
      <c r="G86" s="1"/>
      <c r="H86" s="1"/>
    </row>
    <row r="87" spans="1:8" x14ac:dyDescent="0.45">
      <c r="A87" s="18"/>
      <c r="B87" s="19"/>
      <c r="C87" s="19"/>
      <c r="D87" s="19"/>
      <c r="E87" s="20"/>
      <c r="F87" s="19" t="str">
        <f>IF(D87&lt;&gt;"Saída","",IF(E87&gt;SUMIF($D$6:$D$205,"Entrada",$E$6:$E$205)*IFERROR(VLOOKUP(B87,CONFIG!$A$4:$B$15,2,0),1),"⚠ teto","ok"))</f>
        <v/>
      </c>
      <c r="G87" s="1"/>
      <c r="H87" s="1"/>
    </row>
    <row r="88" spans="1:8" x14ac:dyDescent="0.45">
      <c r="A88" s="18"/>
      <c r="B88" s="19"/>
      <c r="C88" s="19"/>
      <c r="D88" s="19"/>
      <c r="E88" s="20"/>
      <c r="F88" s="19" t="str">
        <f>IF(D88&lt;&gt;"Saída","",IF(E88&gt;SUMIF($D$6:$D$205,"Entrada",$E$6:$E$205)*IFERROR(VLOOKUP(B88,CONFIG!$A$4:$B$15,2,0),1),"⚠ teto","ok"))</f>
        <v/>
      </c>
      <c r="G88" s="1"/>
      <c r="H88" s="1"/>
    </row>
    <row r="89" spans="1:8" x14ac:dyDescent="0.45">
      <c r="A89" s="18"/>
      <c r="B89" s="19"/>
      <c r="C89" s="19"/>
      <c r="D89" s="19"/>
      <c r="E89" s="20"/>
      <c r="F89" s="19" t="str">
        <f>IF(D89&lt;&gt;"Saída","",IF(E89&gt;SUMIF($D$6:$D$205,"Entrada",$E$6:$E$205)*IFERROR(VLOOKUP(B89,CONFIG!$A$4:$B$15,2,0),1),"⚠ teto","ok"))</f>
        <v/>
      </c>
      <c r="G89" s="1"/>
      <c r="H89" s="1"/>
    </row>
    <row r="90" spans="1:8" x14ac:dyDescent="0.45">
      <c r="A90" s="18"/>
      <c r="B90" s="19"/>
      <c r="C90" s="19"/>
      <c r="D90" s="19"/>
      <c r="E90" s="20"/>
      <c r="F90" s="19" t="str">
        <f>IF(D90&lt;&gt;"Saída","",IF(E90&gt;SUMIF($D$6:$D$205,"Entrada",$E$6:$E$205)*IFERROR(VLOOKUP(B90,CONFIG!$A$4:$B$15,2,0),1),"⚠ teto","ok"))</f>
        <v/>
      </c>
      <c r="G90" s="1"/>
      <c r="H90" s="1"/>
    </row>
    <row r="91" spans="1:8" x14ac:dyDescent="0.45">
      <c r="A91" s="18"/>
      <c r="B91" s="19"/>
      <c r="C91" s="19"/>
      <c r="D91" s="19"/>
      <c r="E91" s="20"/>
      <c r="F91" s="19" t="str">
        <f>IF(D91&lt;&gt;"Saída","",IF(E91&gt;SUMIF($D$6:$D$205,"Entrada",$E$6:$E$205)*IFERROR(VLOOKUP(B91,CONFIG!$A$4:$B$15,2,0),1),"⚠ teto","ok"))</f>
        <v/>
      </c>
      <c r="G91" s="1"/>
      <c r="H91" s="1"/>
    </row>
    <row r="92" spans="1:8" x14ac:dyDescent="0.45">
      <c r="A92" s="18"/>
      <c r="B92" s="19"/>
      <c r="C92" s="19"/>
      <c r="D92" s="19"/>
      <c r="E92" s="20"/>
      <c r="F92" s="19" t="str">
        <f>IF(D92&lt;&gt;"Saída","",IF(E92&gt;SUMIF($D$6:$D$205,"Entrada",$E$6:$E$205)*IFERROR(VLOOKUP(B92,CONFIG!$A$4:$B$15,2,0),1),"⚠ teto","ok"))</f>
        <v/>
      </c>
      <c r="G92" s="1"/>
      <c r="H92" s="1"/>
    </row>
    <row r="93" spans="1:8" x14ac:dyDescent="0.45">
      <c r="A93" s="18"/>
      <c r="B93" s="19"/>
      <c r="C93" s="19"/>
      <c r="D93" s="19"/>
      <c r="E93" s="20"/>
      <c r="F93" s="19" t="str">
        <f>IF(D93&lt;&gt;"Saída","",IF(E93&gt;SUMIF($D$6:$D$205,"Entrada",$E$6:$E$205)*IFERROR(VLOOKUP(B93,CONFIG!$A$4:$B$15,2,0),1),"⚠ teto","ok"))</f>
        <v/>
      </c>
      <c r="G93" s="1"/>
      <c r="H93" s="1"/>
    </row>
    <row r="94" spans="1:8" x14ac:dyDescent="0.45">
      <c r="A94" s="18"/>
      <c r="B94" s="19"/>
      <c r="C94" s="19"/>
      <c r="D94" s="19"/>
      <c r="E94" s="20"/>
      <c r="F94" s="19" t="str">
        <f>IF(D94&lt;&gt;"Saída","",IF(E94&gt;SUMIF($D$6:$D$205,"Entrada",$E$6:$E$205)*IFERROR(VLOOKUP(B94,CONFIG!$A$4:$B$15,2,0),1),"⚠ teto","ok"))</f>
        <v/>
      </c>
      <c r="G94" s="1"/>
      <c r="H94" s="1"/>
    </row>
    <row r="95" spans="1:8" x14ac:dyDescent="0.45">
      <c r="A95" s="18"/>
      <c r="B95" s="19"/>
      <c r="C95" s="19"/>
      <c r="D95" s="19"/>
      <c r="E95" s="20"/>
      <c r="F95" s="19" t="str">
        <f>IF(D95&lt;&gt;"Saída","",IF(E95&gt;SUMIF($D$6:$D$205,"Entrada",$E$6:$E$205)*IFERROR(VLOOKUP(B95,CONFIG!$A$4:$B$15,2,0),1),"⚠ teto","ok"))</f>
        <v/>
      </c>
      <c r="G95" s="1"/>
      <c r="H95" s="1"/>
    </row>
    <row r="96" spans="1:8" x14ac:dyDescent="0.45">
      <c r="A96" s="18"/>
      <c r="B96" s="19"/>
      <c r="C96" s="19"/>
      <c r="D96" s="19"/>
      <c r="E96" s="20"/>
      <c r="F96" s="19" t="str">
        <f>IF(D96&lt;&gt;"Saída","",IF(E96&gt;SUMIF($D$6:$D$205,"Entrada",$E$6:$E$205)*IFERROR(VLOOKUP(B96,CONFIG!$A$4:$B$15,2,0),1),"⚠ teto","ok"))</f>
        <v/>
      </c>
      <c r="G96" s="1"/>
      <c r="H96" s="1"/>
    </row>
    <row r="97" spans="1:8" x14ac:dyDescent="0.45">
      <c r="A97" s="18"/>
      <c r="B97" s="19"/>
      <c r="C97" s="19"/>
      <c r="D97" s="19"/>
      <c r="E97" s="20"/>
      <c r="F97" s="19" t="str">
        <f>IF(D97&lt;&gt;"Saída","",IF(E97&gt;SUMIF($D$6:$D$205,"Entrada",$E$6:$E$205)*IFERROR(VLOOKUP(B97,CONFIG!$A$4:$B$15,2,0),1),"⚠ teto","ok"))</f>
        <v/>
      </c>
      <c r="G97" s="1"/>
      <c r="H97" s="1"/>
    </row>
    <row r="98" spans="1:8" x14ac:dyDescent="0.45">
      <c r="A98" s="18"/>
      <c r="B98" s="19"/>
      <c r="C98" s="19"/>
      <c r="D98" s="19"/>
      <c r="E98" s="20"/>
      <c r="F98" s="19" t="str">
        <f>IF(D98&lt;&gt;"Saída","",IF(E98&gt;SUMIF($D$6:$D$205,"Entrada",$E$6:$E$205)*IFERROR(VLOOKUP(B98,CONFIG!$A$4:$B$15,2,0),1),"⚠ teto","ok"))</f>
        <v/>
      </c>
      <c r="G98" s="1"/>
      <c r="H98" s="1"/>
    </row>
    <row r="99" spans="1:8" x14ac:dyDescent="0.45">
      <c r="A99" s="18"/>
      <c r="B99" s="19"/>
      <c r="C99" s="19"/>
      <c r="D99" s="19"/>
      <c r="E99" s="20"/>
      <c r="F99" s="19" t="str">
        <f>IF(D99&lt;&gt;"Saída","",IF(E99&gt;SUMIF($D$6:$D$205,"Entrada",$E$6:$E$205)*IFERROR(VLOOKUP(B99,CONFIG!$A$4:$B$15,2,0),1),"⚠ teto","ok"))</f>
        <v/>
      </c>
      <c r="G99" s="1"/>
      <c r="H99" s="1"/>
    </row>
    <row r="100" spans="1:8" x14ac:dyDescent="0.45">
      <c r="A100" s="18"/>
      <c r="B100" s="19"/>
      <c r="C100" s="19"/>
      <c r="D100" s="19"/>
      <c r="E100" s="20"/>
      <c r="F100" s="19" t="str">
        <f>IF(D100&lt;&gt;"Saída","",IF(E100&gt;SUMIF($D$6:$D$205,"Entrada",$E$6:$E$205)*IFERROR(VLOOKUP(B100,CONFIG!$A$4:$B$15,2,0),1),"⚠ teto","ok"))</f>
        <v/>
      </c>
      <c r="G100" s="1"/>
      <c r="H100" s="1"/>
    </row>
    <row r="101" spans="1:8" x14ac:dyDescent="0.45">
      <c r="A101" s="18"/>
      <c r="B101" s="19"/>
      <c r="C101" s="19"/>
      <c r="D101" s="19"/>
      <c r="E101" s="20"/>
      <c r="F101" s="19" t="str">
        <f>IF(D101&lt;&gt;"Saída","",IF(E101&gt;SUMIF($D$6:$D$205,"Entrada",$E$6:$E$205)*IFERROR(VLOOKUP(B101,CONFIG!$A$4:$B$15,2,0),1),"⚠ teto","ok"))</f>
        <v/>
      </c>
      <c r="G101" s="1"/>
      <c r="H101" s="1"/>
    </row>
    <row r="102" spans="1:8" x14ac:dyDescent="0.45">
      <c r="A102" s="18"/>
      <c r="B102" s="19"/>
      <c r="C102" s="19"/>
      <c r="D102" s="19"/>
      <c r="E102" s="20"/>
      <c r="F102" s="19" t="str">
        <f>IF(D102&lt;&gt;"Saída","",IF(E102&gt;SUMIF($D$6:$D$205,"Entrada",$E$6:$E$205)*IFERROR(VLOOKUP(B102,CONFIG!$A$4:$B$15,2,0),1),"⚠ teto","ok"))</f>
        <v/>
      </c>
      <c r="G102" s="1"/>
      <c r="H102" s="1"/>
    </row>
    <row r="103" spans="1:8" x14ac:dyDescent="0.45">
      <c r="A103" s="18"/>
      <c r="B103" s="19"/>
      <c r="C103" s="19"/>
      <c r="D103" s="19"/>
      <c r="E103" s="20"/>
      <c r="F103" s="19" t="str">
        <f>IF(D103&lt;&gt;"Saída","",IF(E103&gt;SUMIF($D$6:$D$205,"Entrada",$E$6:$E$205)*IFERROR(VLOOKUP(B103,CONFIG!$A$4:$B$15,2,0),1),"⚠ teto","ok"))</f>
        <v/>
      </c>
      <c r="G103" s="1"/>
      <c r="H103" s="1"/>
    </row>
    <row r="104" spans="1:8" x14ac:dyDescent="0.45">
      <c r="A104" s="18"/>
      <c r="B104" s="19"/>
      <c r="C104" s="19"/>
      <c r="D104" s="19"/>
      <c r="E104" s="20"/>
      <c r="F104" s="19" t="str">
        <f>IF(D104&lt;&gt;"Saída","",IF(E104&gt;SUMIF($D$6:$D$205,"Entrada",$E$6:$E$205)*IFERROR(VLOOKUP(B104,CONFIG!$A$4:$B$15,2,0),1),"⚠ teto","ok"))</f>
        <v/>
      </c>
      <c r="G104" s="1"/>
      <c r="H104" s="1"/>
    </row>
    <row r="105" spans="1:8" x14ac:dyDescent="0.45">
      <c r="A105" s="18"/>
      <c r="B105" s="19"/>
      <c r="C105" s="19"/>
      <c r="D105" s="19"/>
      <c r="E105" s="20"/>
      <c r="F105" s="19" t="str">
        <f>IF(D105&lt;&gt;"Saída","",IF(E105&gt;SUMIF($D$6:$D$205,"Entrada",$E$6:$E$205)*IFERROR(VLOOKUP(B105,CONFIG!$A$4:$B$15,2,0),1),"⚠ teto","ok"))</f>
        <v/>
      </c>
      <c r="G105" s="1"/>
      <c r="H105" s="1"/>
    </row>
    <row r="106" spans="1:8" x14ac:dyDescent="0.45">
      <c r="A106" s="18"/>
      <c r="B106" s="19"/>
      <c r="C106" s="19"/>
      <c r="D106" s="19"/>
      <c r="E106" s="20"/>
      <c r="F106" s="19" t="str">
        <f>IF(D106&lt;&gt;"Saída","",IF(E106&gt;SUMIF($D$6:$D$205,"Entrada",$E$6:$E$205)*IFERROR(VLOOKUP(B106,CONFIG!$A$4:$B$15,2,0),1),"⚠ teto","ok"))</f>
        <v/>
      </c>
      <c r="G106" s="1"/>
      <c r="H106" s="1"/>
    </row>
    <row r="107" spans="1:8" x14ac:dyDescent="0.45">
      <c r="A107" s="18"/>
      <c r="B107" s="19"/>
      <c r="C107" s="19"/>
      <c r="D107" s="19"/>
      <c r="E107" s="20"/>
      <c r="F107" s="19" t="str">
        <f>IF(D107&lt;&gt;"Saída","",IF(E107&gt;SUMIF($D$6:$D$205,"Entrada",$E$6:$E$205)*IFERROR(VLOOKUP(B107,CONFIG!$A$4:$B$15,2,0),1),"⚠ teto","ok"))</f>
        <v/>
      </c>
      <c r="G107" s="1"/>
      <c r="H107" s="1"/>
    </row>
    <row r="108" spans="1:8" x14ac:dyDescent="0.45">
      <c r="A108" s="18"/>
      <c r="B108" s="19"/>
      <c r="C108" s="19"/>
      <c r="D108" s="19"/>
      <c r="E108" s="20"/>
      <c r="F108" s="19" t="str">
        <f>IF(D108&lt;&gt;"Saída","",IF(E108&gt;SUMIF($D$6:$D$205,"Entrada",$E$6:$E$205)*IFERROR(VLOOKUP(B108,CONFIG!$A$4:$B$15,2,0),1),"⚠ teto","ok"))</f>
        <v/>
      </c>
      <c r="G108" s="1"/>
      <c r="H108" s="1"/>
    </row>
    <row r="109" spans="1:8" x14ac:dyDescent="0.45">
      <c r="A109" s="18"/>
      <c r="B109" s="19"/>
      <c r="C109" s="19"/>
      <c r="D109" s="19"/>
      <c r="E109" s="20"/>
      <c r="F109" s="19" t="str">
        <f>IF(D109&lt;&gt;"Saída","",IF(E109&gt;SUMIF($D$6:$D$205,"Entrada",$E$6:$E$205)*IFERROR(VLOOKUP(B109,CONFIG!$A$4:$B$15,2,0),1),"⚠ teto","ok"))</f>
        <v/>
      </c>
      <c r="G109" s="1"/>
      <c r="H109" s="1"/>
    </row>
    <row r="110" spans="1:8" x14ac:dyDescent="0.45">
      <c r="A110" s="18"/>
      <c r="B110" s="19"/>
      <c r="C110" s="19"/>
      <c r="D110" s="19"/>
      <c r="E110" s="20"/>
      <c r="F110" s="19" t="str">
        <f>IF(D110&lt;&gt;"Saída","",IF(E110&gt;SUMIF($D$6:$D$205,"Entrada",$E$6:$E$205)*IFERROR(VLOOKUP(B110,CONFIG!$A$4:$B$15,2,0),1),"⚠ teto","ok"))</f>
        <v/>
      </c>
      <c r="G110" s="1"/>
      <c r="H110" s="1"/>
    </row>
    <row r="111" spans="1:8" x14ac:dyDescent="0.45">
      <c r="A111" s="18"/>
      <c r="B111" s="19"/>
      <c r="C111" s="19"/>
      <c r="D111" s="19"/>
      <c r="E111" s="20"/>
      <c r="F111" s="19" t="str">
        <f>IF(D111&lt;&gt;"Saída","",IF(E111&gt;SUMIF($D$6:$D$205,"Entrada",$E$6:$E$205)*IFERROR(VLOOKUP(B111,CONFIG!$A$4:$B$15,2,0),1),"⚠ teto","ok"))</f>
        <v/>
      </c>
      <c r="G111" s="1"/>
      <c r="H111" s="1"/>
    </row>
    <row r="112" spans="1:8" x14ac:dyDescent="0.45">
      <c r="A112" s="18"/>
      <c r="B112" s="19"/>
      <c r="C112" s="19"/>
      <c r="D112" s="19"/>
      <c r="E112" s="20"/>
      <c r="F112" s="19" t="str">
        <f>IF(D112&lt;&gt;"Saída","",IF(E112&gt;SUMIF($D$6:$D$205,"Entrada",$E$6:$E$205)*IFERROR(VLOOKUP(B112,CONFIG!$A$4:$B$15,2,0),1),"⚠ teto","ok"))</f>
        <v/>
      </c>
      <c r="G112" s="1"/>
      <c r="H112" s="1"/>
    </row>
    <row r="113" spans="1:8" x14ac:dyDescent="0.45">
      <c r="A113" s="18"/>
      <c r="B113" s="19"/>
      <c r="C113" s="19"/>
      <c r="D113" s="19"/>
      <c r="E113" s="20"/>
      <c r="F113" s="19" t="str">
        <f>IF(D113&lt;&gt;"Saída","",IF(E113&gt;SUMIF($D$6:$D$205,"Entrada",$E$6:$E$205)*IFERROR(VLOOKUP(B113,CONFIG!$A$4:$B$15,2,0),1),"⚠ teto","ok"))</f>
        <v/>
      </c>
      <c r="G113" s="1"/>
      <c r="H113" s="1"/>
    </row>
    <row r="114" spans="1:8" x14ac:dyDescent="0.45">
      <c r="A114" s="18"/>
      <c r="B114" s="19"/>
      <c r="C114" s="19"/>
      <c r="D114" s="19"/>
      <c r="E114" s="20"/>
      <c r="F114" s="19" t="str">
        <f>IF(D114&lt;&gt;"Saída","",IF(E114&gt;SUMIF($D$6:$D$205,"Entrada",$E$6:$E$205)*IFERROR(VLOOKUP(B114,CONFIG!$A$4:$B$15,2,0),1),"⚠ teto","ok"))</f>
        <v/>
      </c>
      <c r="G114" s="1"/>
      <c r="H114" s="1"/>
    </row>
    <row r="115" spans="1:8" x14ac:dyDescent="0.45">
      <c r="A115" s="18"/>
      <c r="B115" s="19"/>
      <c r="C115" s="19"/>
      <c r="D115" s="19"/>
      <c r="E115" s="20"/>
      <c r="F115" s="19" t="str">
        <f>IF(D115&lt;&gt;"Saída","",IF(E115&gt;SUMIF($D$6:$D$205,"Entrada",$E$6:$E$205)*IFERROR(VLOOKUP(B115,CONFIG!$A$4:$B$15,2,0),1),"⚠ teto","ok"))</f>
        <v/>
      </c>
      <c r="G115" s="1"/>
      <c r="H115" s="1"/>
    </row>
    <row r="116" spans="1:8" x14ac:dyDescent="0.45">
      <c r="A116" s="18"/>
      <c r="B116" s="19"/>
      <c r="C116" s="19"/>
      <c r="D116" s="19"/>
      <c r="E116" s="20"/>
      <c r="F116" s="19" t="str">
        <f>IF(D116&lt;&gt;"Saída","",IF(E116&gt;SUMIF($D$6:$D$205,"Entrada",$E$6:$E$205)*IFERROR(VLOOKUP(B116,CONFIG!$A$4:$B$15,2,0),1),"⚠ teto","ok"))</f>
        <v/>
      </c>
      <c r="G116" s="1"/>
      <c r="H116" s="1"/>
    </row>
    <row r="117" spans="1:8" x14ac:dyDescent="0.45">
      <c r="A117" s="18"/>
      <c r="B117" s="19"/>
      <c r="C117" s="19"/>
      <c r="D117" s="19"/>
      <c r="E117" s="20"/>
      <c r="F117" s="19" t="str">
        <f>IF(D117&lt;&gt;"Saída","",IF(E117&gt;SUMIF($D$6:$D$205,"Entrada",$E$6:$E$205)*IFERROR(VLOOKUP(B117,CONFIG!$A$4:$B$15,2,0),1),"⚠ teto","ok"))</f>
        <v/>
      </c>
      <c r="G117" s="1"/>
      <c r="H117" s="1"/>
    </row>
    <row r="118" spans="1:8" x14ac:dyDescent="0.45">
      <c r="A118" s="18"/>
      <c r="B118" s="19"/>
      <c r="C118" s="19"/>
      <c r="D118" s="19"/>
      <c r="E118" s="20"/>
      <c r="F118" s="19" t="str">
        <f>IF(D118&lt;&gt;"Saída","",IF(E118&gt;SUMIF($D$6:$D$205,"Entrada",$E$6:$E$205)*IFERROR(VLOOKUP(B118,CONFIG!$A$4:$B$15,2,0),1),"⚠ teto","ok"))</f>
        <v/>
      </c>
      <c r="G118" s="1"/>
      <c r="H118" s="1"/>
    </row>
    <row r="119" spans="1:8" x14ac:dyDescent="0.45">
      <c r="A119" s="18"/>
      <c r="B119" s="19"/>
      <c r="C119" s="19"/>
      <c r="D119" s="19"/>
      <c r="E119" s="20"/>
      <c r="F119" s="19" t="str">
        <f>IF(D119&lt;&gt;"Saída","",IF(E119&gt;SUMIF($D$6:$D$205,"Entrada",$E$6:$E$205)*IFERROR(VLOOKUP(B119,CONFIG!$A$4:$B$15,2,0),1),"⚠ teto","ok"))</f>
        <v/>
      </c>
      <c r="G119" s="1"/>
      <c r="H119" s="1"/>
    </row>
    <row r="120" spans="1:8" x14ac:dyDescent="0.45">
      <c r="A120" s="18"/>
      <c r="B120" s="19"/>
      <c r="C120" s="19"/>
      <c r="D120" s="19"/>
      <c r="E120" s="20"/>
      <c r="F120" s="19" t="str">
        <f>IF(D120&lt;&gt;"Saída","",IF(E120&gt;SUMIF($D$6:$D$205,"Entrada",$E$6:$E$205)*IFERROR(VLOOKUP(B120,CONFIG!$A$4:$B$15,2,0),1),"⚠ teto","ok"))</f>
        <v/>
      </c>
      <c r="G120" s="1"/>
      <c r="H120" s="1"/>
    </row>
    <row r="121" spans="1:8" x14ac:dyDescent="0.45">
      <c r="A121" s="18"/>
      <c r="B121" s="19"/>
      <c r="C121" s="19"/>
      <c r="D121" s="19"/>
      <c r="E121" s="20"/>
      <c r="F121" s="19" t="str">
        <f>IF(D121&lt;&gt;"Saída","",IF(E121&gt;SUMIF($D$6:$D$205,"Entrada",$E$6:$E$205)*IFERROR(VLOOKUP(B121,CONFIG!$A$4:$B$15,2,0),1),"⚠ teto","ok"))</f>
        <v/>
      </c>
      <c r="G121" s="1"/>
      <c r="H121" s="1"/>
    </row>
    <row r="122" spans="1:8" x14ac:dyDescent="0.45">
      <c r="A122" s="18"/>
      <c r="B122" s="19"/>
      <c r="C122" s="19"/>
      <c r="D122" s="19"/>
      <c r="E122" s="20"/>
      <c r="F122" s="19" t="str">
        <f>IF(D122&lt;&gt;"Saída","",IF(E122&gt;SUMIF($D$6:$D$205,"Entrada",$E$6:$E$205)*IFERROR(VLOOKUP(B122,CONFIG!$A$4:$B$15,2,0),1),"⚠ teto","ok"))</f>
        <v/>
      </c>
      <c r="G122" s="1"/>
      <c r="H122" s="1"/>
    </row>
    <row r="123" spans="1:8" x14ac:dyDescent="0.45">
      <c r="A123" s="18"/>
      <c r="B123" s="19"/>
      <c r="C123" s="19"/>
      <c r="D123" s="19"/>
      <c r="E123" s="20"/>
      <c r="F123" s="19" t="str">
        <f>IF(D123&lt;&gt;"Saída","",IF(E123&gt;SUMIF($D$6:$D$205,"Entrada",$E$6:$E$205)*IFERROR(VLOOKUP(B123,CONFIG!$A$4:$B$15,2,0),1),"⚠ teto","ok"))</f>
        <v/>
      </c>
      <c r="G123" s="1"/>
      <c r="H123" s="1"/>
    </row>
    <row r="124" spans="1:8" x14ac:dyDescent="0.45">
      <c r="A124" s="18"/>
      <c r="B124" s="19"/>
      <c r="C124" s="19"/>
      <c r="D124" s="19"/>
      <c r="E124" s="20"/>
      <c r="F124" s="19" t="str">
        <f>IF(D124&lt;&gt;"Saída","",IF(E124&gt;SUMIF($D$6:$D$205,"Entrada",$E$6:$E$205)*IFERROR(VLOOKUP(B124,CONFIG!$A$4:$B$15,2,0),1),"⚠ teto","ok"))</f>
        <v/>
      </c>
      <c r="G124" s="1"/>
      <c r="H124" s="1"/>
    </row>
    <row r="125" spans="1:8" x14ac:dyDescent="0.45">
      <c r="A125" s="18"/>
      <c r="B125" s="19"/>
      <c r="C125" s="19"/>
      <c r="D125" s="19"/>
      <c r="E125" s="20"/>
      <c r="F125" s="19" t="str">
        <f>IF(D125&lt;&gt;"Saída","",IF(E125&gt;SUMIF($D$6:$D$205,"Entrada",$E$6:$E$205)*IFERROR(VLOOKUP(B125,CONFIG!$A$4:$B$15,2,0),1),"⚠ teto","ok"))</f>
        <v/>
      </c>
      <c r="G125" s="1"/>
      <c r="H125" s="1"/>
    </row>
    <row r="126" spans="1:8" x14ac:dyDescent="0.45">
      <c r="A126" s="18"/>
      <c r="B126" s="19"/>
      <c r="C126" s="19"/>
      <c r="D126" s="19"/>
      <c r="E126" s="20"/>
      <c r="F126" s="19" t="str">
        <f>IF(D126&lt;&gt;"Saída","",IF(E126&gt;SUMIF($D$6:$D$205,"Entrada",$E$6:$E$205)*IFERROR(VLOOKUP(B126,CONFIG!$A$4:$B$15,2,0),1),"⚠ teto","ok"))</f>
        <v/>
      </c>
      <c r="G126" s="1"/>
      <c r="H126" s="1"/>
    </row>
    <row r="127" spans="1:8" x14ac:dyDescent="0.45">
      <c r="A127" s="1"/>
      <c r="B127" s="1"/>
      <c r="C127" s="1"/>
      <c r="D127" s="1"/>
      <c r="E127" s="1"/>
      <c r="F127" s="1"/>
      <c r="G127" s="1"/>
      <c r="H127" s="1"/>
    </row>
    <row r="128" spans="1:8" x14ac:dyDescent="0.45">
      <c r="A128" s="1"/>
      <c r="B128" s="1"/>
      <c r="C128" s="1"/>
      <c r="D128" s="1"/>
      <c r="E128" s="1"/>
      <c r="F128" s="1"/>
      <c r="G128" s="1"/>
      <c r="H128" s="1"/>
    </row>
    <row r="129" spans="1:8" x14ac:dyDescent="0.45">
      <c r="A129" s="1"/>
      <c r="B129" s="1"/>
      <c r="C129" s="1"/>
      <c r="D129" s="1"/>
      <c r="E129" s="1"/>
      <c r="F129" s="1"/>
      <c r="G129" s="1"/>
      <c r="H129" s="1"/>
    </row>
    <row r="130" spans="1:8" x14ac:dyDescent="0.45">
      <c r="A130" s="1"/>
      <c r="B130" s="1"/>
      <c r="C130" s="1"/>
      <c r="D130" s="1"/>
      <c r="E130" s="1"/>
      <c r="F130" s="1"/>
      <c r="G130" s="1"/>
      <c r="H130" s="1"/>
    </row>
    <row r="131" spans="1:8" x14ac:dyDescent="0.45">
      <c r="A131" s="1"/>
      <c r="B131" s="1"/>
      <c r="C131" s="1"/>
      <c r="D131" s="1"/>
      <c r="E131" s="1"/>
      <c r="F131" s="1"/>
      <c r="G131" s="1"/>
      <c r="H131" s="1"/>
    </row>
    <row r="132" spans="1:8" x14ac:dyDescent="0.45">
      <c r="A132" s="1"/>
      <c r="B132" s="1"/>
      <c r="C132" s="1"/>
      <c r="D132" s="1"/>
      <c r="E132" s="1"/>
      <c r="F132" s="1"/>
      <c r="G132" s="1"/>
      <c r="H132" s="1"/>
    </row>
    <row r="133" spans="1:8" x14ac:dyDescent="0.45">
      <c r="A133" s="1"/>
      <c r="B133" s="1"/>
      <c r="C133" s="1"/>
      <c r="D133" s="1"/>
      <c r="E133" s="1"/>
      <c r="F133" s="1"/>
      <c r="G133" s="1"/>
      <c r="H133" s="1"/>
    </row>
    <row r="134" spans="1:8" x14ac:dyDescent="0.45">
      <c r="A134" s="1"/>
      <c r="B134" s="1"/>
      <c r="C134" s="1"/>
      <c r="D134" s="1"/>
      <c r="E134" s="1"/>
      <c r="F134" s="1"/>
      <c r="G134" s="1"/>
      <c r="H134" s="1"/>
    </row>
    <row r="135" spans="1:8" x14ac:dyDescent="0.45">
      <c r="A135" s="1"/>
      <c r="B135" s="1"/>
      <c r="C135" s="1"/>
      <c r="D135" s="1"/>
      <c r="E135" s="1"/>
      <c r="F135" s="1"/>
      <c r="G135" s="1"/>
      <c r="H135" s="1"/>
    </row>
    <row r="136" spans="1:8" x14ac:dyDescent="0.45">
      <c r="A136" s="1"/>
      <c r="B136" s="1"/>
      <c r="C136" s="1"/>
      <c r="D136" s="1"/>
      <c r="E136" s="1"/>
      <c r="F136" s="1"/>
      <c r="G136" s="1"/>
      <c r="H136" s="1"/>
    </row>
    <row r="137" spans="1:8" x14ac:dyDescent="0.45">
      <c r="A137" s="1"/>
      <c r="B137" s="1"/>
      <c r="C137" s="1"/>
      <c r="D137" s="1"/>
      <c r="E137" s="1"/>
      <c r="F137" s="1"/>
      <c r="G137" s="1"/>
      <c r="H137" s="1"/>
    </row>
    <row r="138" spans="1:8" x14ac:dyDescent="0.45">
      <c r="A138" s="1"/>
      <c r="B138" s="1"/>
      <c r="C138" s="1"/>
      <c r="D138" s="1"/>
      <c r="E138" s="1"/>
      <c r="F138" s="1"/>
      <c r="G138" s="1"/>
      <c r="H138" s="1"/>
    </row>
    <row r="139" spans="1:8" x14ac:dyDescent="0.45">
      <c r="A139" s="1"/>
      <c r="B139" s="1"/>
      <c r="C139" s="1"/>
      <c r="D139" s="1"/>
      <c r="E139" s="1"/>
      <c r="F139" s="1"/>
      <c r="G139" s="1"/>
      <c r="H139" s="1"/>
    </row>
    <row r="140" spans="1:8" x14ac:dyDescent="0.45">
      <c r="A140" s="1"/>
      <c r="B140" s="1"/>
      <c r="C140" s="1"/>
      <c r="D140" s="1"/>
      <c r="E140" s="1"/>
      <c r="F140" s="1"/>
      <c r="G140" s="1"/>
      <c r="H140" s="1"/>
    </row>
    <row r="141" spans="1:8" x14ac:dyDescent="0.45">
      <c r="A141" s="1"/>
      <c r="B141" s="1"/>
      <c r="C141" s="1"/>
      <c r="D141" s="1"/>
      <c r="E141" s="1"/>
      <c r="F141" s="1"/>
      <c r="G141" s="1"/>
      <c r="H141" s="1"/>
    </row>
    <row r="142" spans="1:8" x14ac:dyDescent="0.45">
      <c r="A142" s="1"/>
      <c r="B142" s="1"/>
      <c r="C142" s="1"/>
      <c r="D142" s="1"/>
      <c r="E142" s="1"/>
      <c r="F142" s="1"/>
      <c r="G142" s="1"/>
      <c r="H142" s="1"/>
    </row>
    <row r="143" spans="1:8" x14ac:dyDescent="0.45">
      <c r="A143" s="1"/>
      <c r="B143" s="1"/>
      <c r="C143" s="1"/>
      <c r="D143" s="1"/>
      <c r="E143" s="1"/>
      <c r="F143" s="1"/>
      <c r="G143" s="1"/>
      <c r="H143" s="1"/>
    </row>
    <row r="144" spans="1:8" x14ac:dyDescent="0.45">
      <c r="A144" s="1"/>
      <c r="B144" s="1"/>
      <c r="C144" s="1"/>
      <c r="D144" s="1"/>
      <c r="E144" s="1"/>
      <c r="F144" s="1"/>
      <c r="G144" s="1"/>
      <c r="H144" s="1"/>
    </row>
    <row r="145" spans="1:8" x14ac:dyDescent="0.45">
      <c r="A145" s="1"/>
      <c r="B145" s="1"/>
      <c r="C145" s="1"/>
      <c r="D145" s="1"/>
      <c r="E145" s="1"/>
      <c r="F145" s="1"/>
      <c r="G145" s="1"/>
      <c r="H145" s="1"/>
    </row>
    <row r="146" spans="1:8" x14ac:dyDescent="0.45">
      <c r="A146" s="1"/>
      <c r="B146" s="1"/>
      <c r="C146" s="1"/>
      <c r="D146" s="1"/>
      <c r="E146" s="1"/>
      <c r="F146" s="1"/>
      <c r="G146" s="1"/>
      <c r="H146" s="1"/>
    </row>
    <row r="147" spans="1:8" x14ac:dyDescent="0.45">
      <c r="A147" s="1"/>
      <c r="B147" s="1"/>
      <c r="C147" s="1"/>
      <c r="D147" s="1"/>
      <c r="E147" s="1"/>
      <c r="F147" s="1"/>
      <c r="G147" s="1"/>
      <c r="H147" s="1"/>
    </row>
    <row r="148" spans="1:8" x14ac:dyDescent="0.45">
      <c r="A148" s="1"/>
      <c r="B148" s="1"/>
      <c r="C148" s="1"/>
      <c r="D148" s="1"/>
      <c r="E148" s="1"/>
      <c r="F148" s="1"/>
      <c r="G148" s="1"/>
      <c r="H148" s="1"/>
    </row>
    <row r="149" spans="1:8" x14ac:dyDescent="0.45">
      <c r="A149" s="1"/>
      <c r="B149" s="1"/>
      <c r="C149" s="1"/>
      <c r="D149" s="1"/>
      <c r="E149" s="1"/>
      <c r="F149" s="1"/>
      <c r="G149" s="1"/>
      <c r="H149" s="1"/>
    </row>
    <row r="150" spans="1:8" x14ac:dyDescent="0.45">
      <c r="A150" s="1"/>
      <c r="B150" s="1"/>
      <c r="C150" s="1"/>
      <c r="D150" s="1"/>
      <c r="E150" s="1"/>
      <c r="F150" s="1"/>
      <c r="G150" s="1"/>
      <c r="H150" s="1"/>
    </row>
    <row r="151" spans="1:8" x14ac:dyDescent="0.45">
      <c r="A151" s="1"/>
      <c r="B151" s="1"/>
      <c r="C151" s="1"/>
      <c r="D151" s="1"/>
      <c r="E151" s="1"/>
      <c r="F151" s="1"/>
      <c r="G151" s="1"/>
      <c r="H151" s="1"/>
    </row>
    <row r="152" spans="1:8" x14ac:dyDescent="0.45">
      <c r="A152" s="1"/>
      <c r="B152" s="1"/>
      <c r="C152" s="1"/>
      <c r="D152" s="1"/>
      <c r="E152" s="1"/>
      <c r="F152" s="1"/>
      <c r="G152" s="1"/>
      <c r="H152" s="1"/>
    </row>
    <row r="153" spans="1:8" x14ac:dyDescent="0.45">
      <c r="A153" s="1"/>
      <c r="B153" s="1"/>
      <c r="C153" s="1"/>
      <c r="D153" s="1"/>
      <c r="E153" s="1"/>
      <c r="F153" s="1"/>
      <c r="G153" s="1"/>
      <c r="H153" s="1"/>
    </row>
    <row r="154" spans="1:8" x14ac:dyDescent="0.45">
      <c r="A154" s="1"/>
      <c r="B154" s="1"/>
      <c r="C154" s="1"/>
      <c r="D154" s="1"/>
      <c r="E154" s="1"/>
      <c r="F154" s="1"/>
      <c r="G154" s="1"/>
      <c r="H154" s="1"/>
    </row>
    <row r="155" spans="1:8" x14ac:dyDescent="0.45">
      <c r="A155" s="1"/>
      <c r="B155" s="1"/>
      <c r="C155" s="1"/>
      <c r="D155" s="1"/>
      <c r="E155" s="1"/>
      <c r="F155" s="1"/>
      <c r="G155" s="1"/>
      <c r="H155" s="1"/>
    </row>
    <row r="156" spans="1:8" x14ac:dyDescent="0.45">
      <c r="A156" s="1"/>
      <c r="B156" s="1"/>
      <c r="C156" s="1"/>
      <c r="D156" s="1"/>
      <c r="E156" s="1"/>
      <c r="F156" s="1"/>
      <c r="G156" s="1"/>
      <c r="H156" s="1"/>
    </row>
    <row r="157" spans="1:8" x14ac:dyDescent="0.45">
      <c r="A157" s="1"/>
      <c r="B157" s="1"/>
      <c r="C157" s="1"/>
      <c r="D157" s="1"/>
      <c r="E157" s="1"/>
      <c r="F157" s="1"/>
      <c r="G157" s="1"/>
      <c r="H157" s="1"/>
    </row>
    <row r="158" spans="1:8" x14ac:dyDescent="0.45">
      <c r="A158" s="1"/>
      <c r="B158" s="1"/>
      <c r="C158" s="1"/>
      <c r="D158" s="1"/>
      <c r="E158" s="1"/>
      <c r="F158" s="1"/>
      <c r="G158" s="1"/>
      <c r="H158" s="1"/>
    </row>
    <row r="159" spans="1:8" x14ac:dyDescent="0.45">
      <c r="A159" s="1"/>
      <c r="B159" s="1"/>
      <c r="C159" s="1"/>
      <c r="D159" s="1"/>
      <c r="E159" s="1"/>
      <c r="F159" s="1"/>
      <c r="G159" s="1"/>
      <c r="H159" s="1"/>
    </row>
    <row r="160" spans="1:8" x14ac:dyDescent="0.45">
      <c r="A160" s="1"/>
      <c r="B160" s="1"/>
      <c r="C160" s="1"/>
      <c r="D160" s="1"/>
      <c r="E160" s="1"/>
      <c r="F160" s="1"/>
      <c r="G160" s="1"/>
      <c r="H160" s="1"/>
    </row>
    <row r="161" spans="1:8" x14ac:dyDescent="0.45">
      <c r="A161" s="1"/>
      <c r="B161" s="1"/>
      <c r="C161" s="1"/>
      <c r="D161" s="1"/>
      <c r="E161" s="1"/>
      <c r="F161" s="1"/>
      <c r="G161" s="1"/>
      <c r="H161" s="1"/>
    </row>
    <row r="162" spans="1:8" x14ac:dyDescent="0.45">
      <c r="A162" s="1"/>
      <c r="B162" s="1"/>
      <c r="C162" s="1"/>
      <c r="D162" s="1"/>
      <c r="E162" s="1"/>
      <c r="F162" s="1"/>
      <c r="G162" s="1"/>
      <c r="H162" s="1"/>
    </row>
    <row r="163" spans="1:8" x14ac:dyDescent="0.45">
      <c r="A163" s="1"/>
      <c r="B163" s="1"/>
      <c r="C163" s="1"/>
      <c r="D163" s="1"/>
      <c r="E163" s="1"/>
      <c r="F163" s="1"/>
      <c r="G163" s="1"/>
      <c r="H163" s="1"/>
    </row>
    <row r="164" spans="1:8" x14ac:dyDescent="0.45">
      <c r="A164" s="1"/>
      <c r="B164" s="1"/>
      <c r="C164" s="1"/>
      <c r="D164" s="1"/>
      <c r="E164" s="1"/>
      <c r="F164" s="1"/>
      <c r="G164" s="1"/>
      <c r="H164" s="1"/>
    </row>
    <row r="165" spans="1:8" x14ac:dyDescent="0.45">
      <c r="A165" s="1"/>
      <c r="B165" s="1"/>
      <c r="C165" s="1"/>
      <c r="D165" s="1"/>
      <c r="E165" s="1"/>
      <c r="F165" s="1"/>
      <c r="G165" s="1"/>
      <c r="H165" s="1"/>
    </row>
    <row r="166" spans="1:8" x14ac:dyDescent="0.45">
      <c r="A166" s="1"/>
      <c r="B166" s="1"/>
      <c r="C166" s="1"/>
      <c r="D166" s="1"/>
      <c r="E166" s="1"/>
      <c r="F166" s="1"/>
      <c r="G166" s="1"/>
      <c r="H166" s="1"/>
    </row>
    <row r="167" spans="1:8" x14ac:dyDescent="0.45">
      <c r="A167" s="1"/>
      <c r="B167" s="1"/>
      <c r="C167" s="1"/>
      <c r="D167" s="1"/>
      <c r="E167" s="1"/>
      <c r="F167" s="1"/>
      <c r="G167" s="1"/>
      <c r="H167" s="1"/>
    </row>
    <row r="168" spans="1:8" x14ac:dyDescent="0.45">
      <c r="A168" s="1"/>
      <c r="B168" s="1"/>
      <c r="C168" s="1"/>
      <c r="D168" s="1"/>
      <c r="E168" s="1"/>
      <c r="F168" s="1"/>
      <c r="G168" s="1"/>
      <c r="H168" s="1"/>
    </row>
    <row r="169" spans="1:8" x14ac:dyDescent="0.45">
      <c r="A169" s="1"/>
      <c r="B169" s="1"/>
      <c r="C169" s="1"/>
      <c r="D169" s="1"/>
      <c r="E169" s="1"/>
      <c r="F169" s="1"/>
      <c r="G169" s="1"/>
      <c r="H169" s="1"/>
    </row>
    <row r="170" spans="1:8" x14ac:dyDescent="0.45">
      <c r="A170" s="1"/>
      <c r="B170" s="1"/>
      <c r="C170" s="1"/>
      <c r="D170" s="1"/>
      <c r="E170" s="1"/>
      <c r="F170" s="1"/>
      <c r="G170" s="1"/>
      <c r="H170" s="1"/>
    </row>
    <row r="171" spans="1:8" x14ac:dyDescent="0.45">
      <c r="A171" s="1"/>
      <c r="B171" s="1"/>
      <c r="C171" s="1"/>
      <c r="D171" s="1"/>
      <c r="E171" s="1"/>
      <c r="F171" s="1"/>
      <c r="G171" s="1"/>
      <c r="H171" s="1"/>
    </row>
    <row r="172" spans="1:8" x14ac:dyDescent="0.45">
      <c r="A172" s="1"/>
      <c r="B172" s="1"/>
      <c r="C172" s="1"/>
      <c r="D172" s="1"/>
      <c r="E172" s="1"/>
      <c r="F172" s="1"/>
      <c r="G172" s="1"/>
      <c r="H172" s="1"/>
    </row>
    <row r="173" spans="1:8" x14ac:dyDescent="0.45">
      <c r="A173" s="1"/>
      <c r="B173" s="1"/>
      <c r="C173" s="1"/>
      <c r="D173" s="1"/>
      <c r="E173" s="1"/>
      <c r="F173" s="1"/>
      <c r="G173" s="1"/>
      <c r="H173" s="1"/>
    </row>
    <row r="174" spans="1:8" x14ac:dyDescent="0.45">
      <c r="A174" s="1"/>
      <c r="B174" s="1"/>
      <c r="C174" s="1"/>
      <c r="D174" s="1"/>
      <c r="E174" s="1"/>
      <c r="F174" s="1"/>
      <c r="G174" s="1"/>
      <c r="H174" s="1"/>
    </row>
    <row r="175" spans="1:8" x14ac:dyDescent="0.45">
      <c r="A175" s="1"/>
      <c r="B175" s="1"/>
      <c r="C175" s="1"/>
      <c r="D175" s="1"/>
      <c r="E175" s="1"/>
      <c r="F175" s="1"/>
      <c r="G175" s="1"/>
      <c r="H175" s="1"/>
    </row>
    <row r="176" spans="1:8" x14ac:dyDescent="0.45">
      <c r="A176" s="1"/>
      <c r="B176" s="1"/>
      <c r="C176" s="1"/>
      <c r="D176" s="1"/>
      <c r="E176" s="1"/>
      <c r="F176" s="1"/>
      <c r="G176" s="1"/>
      <c r="H176" s="1"/>
    </row>
    <row r="177" spans="1:8" x14ac:dyDescent="0.45">
      <c r="A177" s="1"/>
      <c r="B177" s="1"/>
      <c r="C177" s="1"/>
      <c r="D177" s="1"/>
      <c r="E177" s="1"/>
      <c r="F177" s="1"/>
      <c r="G177" s="1"/>
      <c r="H177" s="1"/>
    </row>
    <row r="178" spans="1:8" x14ac:dyDescent="0.45">
      <c r="A178" s="1"/>
      <c r="B178" s="1"/>
      <c r="C178" s="1"/>
      <c r="D178" s="1"/>
      <c r="E178" s="1"/>
      <c r="F178" s="1"/>
      <c r="G178" s="1"/>
      <c r="H178" s="1"/>
    </row>
    <row r="179" spans="1:8" x14ac:dyDescent="0.45">
      <c r="A179" s="1"/>
      <c r="B179" s="1"/>
      <c r="C179" s="1"/>
      <c r="D179" s="1"/>
      <c r="E179" s="1"/>
      <c r="F179" s="1"/>
      <c r="G179" s="1"/>
      <c r="H179" s="1"/>
    </row>
    <row r="180" spans="1:8" x14ac:dyDescent="0.45">
      <c r="A180" s="1"/>
      <c r="B180" s="1"/>
      <c r="C180" s="1"/>
      <c r="D180" s="1"/>
      <c r="E180" s="1"/>
      <c r="F180" s="1"/>
      <c r="G180" s="1"/>
      <c r="H180" s="1"/>
    </row>
    <row r="181" spans="1:8" x14ac:dyDescent="0.45">
      <c r="A181" s="1"/>
      <c r="B181" s="1"/>
      <c r="C181" s="1"/>
      <c r="D181" s="1"/>
      <c r="E181" s="1"/>
      <c r="F181" s="1"/>
      <c r="G181" s="1"/>
      <c r="H181" s="1"/>
    </row>
    <row r="182" spans="1:8" x14ac:dyDescent="0.45">
      <c r="A182" s="1"/>
      <c r="B182" s="1"/>
      <c r="C182" s="1"/>
      <c r="D182" s="1"/>
      <c r="E182" s="1"/>
      <c r="F182" s="1"/>
      <c r="G182" s="1"/>
      <c r="H182" s="1"/>
    </row>
    <row r="183" spans="1:8" x14ac:dyDescent="0.45">
      <c r="A183" s="1"/>
      <c r="B183" s="1"/>
      <c r="C183" s="1"/>
      <c r="D183" s="1"/>
      <c r="E183" s="1"/>
      <c r="F183" s="1"/>
      <c r="G183" s="1"/>
      <c r="H183" s="1"/>
    </row>
    <row r="184" spans="1:8" x14ac:dyDescent="0.45">
      <c r="A184" s="1"/>
      <c r="B184" s="1"/>
      <c r="C184" s="1"/>
      <c r="D184" s="1"/>
      <c r="E184" s="1"/>
      <c r="F184" s="1"/>
      <c r="G184" s="1"/>
      <c r="H184" s="1"/>
    </row>
    <row r="185" spans="1:8" x14ac:dyDescent="0.45">
      <c r="A185" s="1"/>
      <c r="B185" s="1"/>
      <c r="C185" s="1"/>
      <c r="D185" s="1"/>
      <c r="E185" s="1"/>
      <c r="F185" s="1"/>
      <c r="G185" s="1"/>
      <c r="H185" s="1"/>
    </row>
    <row r="186" spans="1:8" x14ac:dyDescent="0.45">
      <c r="A186" s="1"/>
      <c r="B186" s="1"/>
      <c r="C186" s="1"/>
      <c r="D186" s="1"/>
      <c r="E186" s="1"/>
      <c r="F186" s="1"/>
      <c r="G186" s="1"/>
      <c r="H186" s="1"/>
    </row>
    <row r="187" spans="1:8" x14ac:dyDescent="0.45">
      <c r="A187" s="1"/>
      <c r="B187" s="1"/>
      <c r="C187" s="1"/>
      <c r="D187" s="1"/>
      <c r="E187" s="1"/>
      <c r="F187" s="1"/>
      <c r="G187" s="1"/>
      <c r="H187" s="1"/>
    </row>
    <row r="188" spans="1:8" x14ac:dyDescent="0.45">
      <c r="A188" s="1"/>
      <c r="B188" s="1"/>
      <c r="C188" s="1"/>
      <c r="D188" s="1"/>
      <c r="E188" s="1"/>
      <c r="F188" s="1"/>
      <c r="G188" s="1"/>
      <c r="H188" s="1"/>
    </row>
    <row r="189" spans="1:8" x14ac:dyDescent="0.45">
      <c r="A189" s="1"/>
      <c r="B189" s="1"/>
      <c r="C189" s="1"/>
      <c r="D189" s="1"/>
      <c r="E189" s="1"/>
      <c r="F189" s="1"/>
      <c r="G189" s="1"/>
      <c r="H189" s="1"/>
    </row>
    <row r="190" spans="1:8" x14ac:dyDescent="0.45">
      <c r="A190" s="1"/>
      <c r="B190" s="1"/>
      <c r="C190" s="1"/>
      <c r="D190" s="1"/>
      <c r="E190" s="1"/>
      <c r="F190" s="1"/>
      <c r="G190" s="1"/>
      <c r="H190" s="1"/>
    </row>
    <row r="191" spans="1:8" x14ac:dyDescent="0.45">
      <c r="A191" s="1"/>
      <c r="B191" s="1"/>
      <c r="C191" s="1"/>
      <c r="D191" s="1"/>
      <c r="E191" s="1"/>
      <c r="F191" s="1"/>
      <c r="G191" s="1"/>
      <c r="H191" s="1"/>
    </row>
    <row r="192" spans="1:8" x14ac:dyDescent="0.45">
      <c r="A192" s="1"/>
      <c r="B192" s="1"/>
      <c r="C192" s="1"/>
      <c r="D192" s="1"/>
      <c r="E192" s="1"/>
      <c r="F192" s="1"/>
      <c r="G192" s="1"/>
      <c r="H192" s="1"/>
    </row>
    <row r="193" spans="1:8" x14ac:dyDescent="0.45">
      <c r="A193" s="1"/>
      <c r="B193" s="1"/>
      <c r="C193" s="1"/>
      <c r="D193" s="1"/>
      <c r="E193" s="1"/>
      <c r="F193" s="1"/>
      <c r="G193" s="1"/>
      <c r="H193" s="1"/>
    </row>
    <row r="194" spans="1:8" x14ac:dyDescent="0.45">
      <c r="A194" s="1"/>
      <c r="B194" s="1"/>
      <c r="C194" s="1"/>
      <c r="D194" s="1"/>
      <c r="E194" s="1"/>
      <c r="F194" s="1"/>
      <c r="G194" s="1"/>
      <c r="H194" s="1"/>
    </row>
    <row r="195" spans="1:8" x14ac:dyDescent="0.45">
      <c r="A195" s="1"/>
      <c r="B195" s="1"/>
      <c r="C195" s="1"/>
      <c r="D195" s="1"/>
      <c r="E195" s="1"/>
      <c r="F195" s="1"/>
      <c r="G195" s="1"/>
      <c r="H195" s="1"/>
    </row>
    <row r="196" spans="1:8" x14ac:dyDescent="0.45">
      <c r="A196" s="1"/>
      <c r="B196" s="1"/>
      <c r="C196" s="1"/>
      <c r="D196" s="1"/>
      <c r="E196" s="1"/>
      <c r="F196" s="1"/>
      <c r="G196" s="1"/>
      <c r="H196" s="1"/>
    </row>
    <row r="197" spans="1:8" x14ac:dyDescent="0.45">
      <c r="A197" s="1"/>
      <c r="B197" s="1"/>
      <c r="C197" s="1"/>
      <c r="D197" s="1"/>
      <c r="E197" s="1"/>
      <c r="F197" s="1"/>
      <c r="G197" s="1"/>
      <c r="H197" s="1"/>
    </row>
    <row r="198" spans="1:8" x14ac:dyDescent="0.45">
      <c r="A198" s="1"/>
      <c r="B198" s="1"/>
      <c r="C198" s="1"/>
      <c r="D198" s="1"/>
      <c r="E198" s="1"/>
      <c r="F198" s="1"/>
      <c r="G198" s="1"/>
      <c r="H198" s="1"/>
    </row>
    <row r="199" spans="1:8" x14ac:dyDescent="0.45">
      <c r="A199" s="1"/>
      <c r="B199" s="1"/>
      <c r="C199" s="1"/>
      <c r="D199" s="1"/>
      <c r="E199" s="1"/>
      <c r="F199" s="1"/>
      <c r="G199" s="1"/>
      <c r="H199" s="1"/>
    </row>
    <row r="200" spans="1:8" x14ac:dyDescent="0.45">
      <c r="A200" s="1"/>
      <c r="B200" s="1"/>
      <c r="C200" s="1"/>
      <c r="D200" s="1"/>
      <c r="E200" s="1"/>
      <c r="F200" s="1"/>
      <c r="G200" s="1"/>
      <c r="H200" s="1"/>
    </row>
  </sheetData>
  <mergeCells count="3">
    <mergeCell ref="A3:F3"/>
    <mergeCell ref="A2:F2"/>
    <mergeCell ref="A1:F1"/>
  </mergeCells>
  <conditionalFormatting sqref="E6:E126">
    <cfRule type="dataBar" priority="2">
      <dataBar>
        <cfvo type="min"/>
        <cfvo type="max"/>
        <color rgb="FFC99C66"/>
      </dataBar>
    </cfRule>
  </conditionalFormatting>
  <conditionalFormatting sqref="F6:F126">
    <cfRule type="cellIs" dxfId="0" priority="1" operator="equal">
      <formula>"⚠ teto"</formula>
    </cfRule>
  </conditionalFormatting>
  <dataValidations count="1">
    <dataValidation type="list" allowBlank="1" errorTitle="Valor inválido" error="Selecione um valor da lista" promptTitle="Trust Excel" prompt="Escolha uma opção" sqref="D6:D126" xr:uid="{00000000-0002-0000-0200-000001000000}">
      <formula1>"Entrada,Saída"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inválido" error="Selecione um valor da lista" promptTitle="Trust Excel" prompt="Escolha uma opção" xr:uid="{00000000-0002-0000-0200-000000000000}">
          <x14:formula1>
            <xm:f>CONFIG!$A$4:$A$15</xm:f>
          </x14:formula1>
          <xm:sqref>B6:B126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showGridLines="0" workbookViewId="0"/>
  </sheetViews>
  <sheetFormatPr defaultRowHeight="14.25" x14ac:dyDescent="0.45"/>
  <cols>
    <col min="1" max="1" width="10" customWidth="1"/>
    <col min="2" max="5" width="18" customWidth="1"/>
  </cols>
  <sheetData>
    <row r="1" spans="1:8" ht="14" customHeight="1" x14ac:dyDescent="0.45">
      <c r="A1" s="39" t="s">
        <v>0</v>
      </c>
      <c r="B1" s="33"/>
      <c r="C1" s="33"/>
      <c r="D1" s="33"/>
      <c r="E1" s="33"/>
      <c r="F1" s="1"/>
      <c r="G1" s="1"/>
      <c r="H1" s="1"/>
    </row>
    <row r="2" spans="1:8" ht="28.05" customHeight="1" x14ac:dyDescent="0.45">
      <c r="A2" s="35" t="s">
        <v>87</v>
      </c>
      <c r="B2" s="33"/>
      <c r="C2" s="33"/>
      <c r="D2" s="33"/>
      <c r="E2" s="33"/>
      <c r="F2" s="1"/>
      <c r="G2" s="1"/>
      <c r="H2" s="1"/>
    </row>
    <row r="3" spans="1:8" ht="14" customHeight="1" x14ac:dyDescent="0.45">
      <c r="A3" s="32" t="s">
        <v>88</v>
      </c>
      <c r="B3" s="33"/>
      <c r="C3" s="33"/>
      <c r="D3" s="33"/>
      <c r="E3" s="33"/>
      <c r="F3" s="1"/>
      <c r="G3" s="1"/>
      <c r="H3" s="1"/>
    </row>
    <row r="4" spans="1:8" x14ac:dyDescent="0.45">
      <c r="A4" s="1"/>
      <c r="B4" s="1"/>
      <c r="C4" s="1"/>
      <c r="D4" s="1"/>
      <c r="E4" s="1"/>
      <c r="F4" s="1"/>
      <c r="G4" s="1"/>
      <c r="H4" s="1"/>
    </row>
    <row r="5" spans="1:8" x14ac:dyDescent="0.45">
      <c r="A5" s="17" t="s">
        <v>89</v>
      </c>
      <c r="B5" s="21">
        <f>DASHBOARD!Z42</f>
        <v>3470</v>
      </c>
      <c r="C5" s="1"/>
      <c r="D5" s="1"/>
      <c r="E5" s="1"/>
      <c r="F5" s="1"/>
      <c r="G5" s="1"/>
      <c r="H5" s="1"/>
    </row>
    <row r="6" spans="1:8" x14ac:dyDescent="0.45">
      <c r="A6" s="17" t="s">
        <v>90</v>
      </c>
      <c r="B6" s="22">
        <v>8.0000000000000002E-3</v>
      </c>
      <c r="C6" s="1"/>
      <c r="D6" s="1"/>
      <c r="E6" s="1"/>
      <c r="F6" s="1"/>
      <c r="G6" s="1"/>
      <c r="H6" s="1"/>
    </row>
    <row r="7" spans="1:8" x14ac:dyDescent="0.45">
      <c r="A7" s="17" t="s">
        <v>91</v>
      </c>
      <c r="B7" s="23">
        <v>5000</v>
      </c>
      <c r="C7" s="1"/>
      <c r="D7" s="1"/>
      <c r="E7" s="1"/>
      <c r="F7" s="1"/>
      <c r="G7" s="1"/>
      <c r="H7" s="1"/>
    </row>
    <row r="8" spans="1:8" x14ac:dyDescent="0.45">
      <c r="A8" s="1"/>
      <c r="B8" s="1"/>
      <c r="C8" s="1"/>
      <c r="D8" s="1"/>
      <c r="E8" s="1"/>
      <c r="F8" s="1"/>
      <c r="G8" s="1"/>
      <c r="H8" s="1"/>
    </row>
    <row r="9" spans="1:8" ht="18" customHeight="1" x14ac:dyDescent="0.45">
      <c r="A9" s="4" t="s">
        <v>92</v>
      </c>
      <c r="B9" s="4" t="s">
        <v>93</v>
      </c>
      <c r="C9" s="1"/>
      <c r="D9" s="1"/>
      <c r="E9" s="1"/>
      <c r="F9" s="1"/>
      <c r="G9" s="1"/>
      <c r="H9" s="1"/>
    </row>
    <row r="10" spans="1:8" x14ac:dyDescent="0.45">
      <c r="A10" s="15">
        <v>1</v>
      </c>
      <c r="B10" s="24">
        <f>$B$7*(1+$B$6)+MAX(0,$B$5)</f>
        <v>8510</v>
      </c>
      <c r="C10" s="1"/>
      <c r="D10" s="1"/>
      <c r="E10" s="1"/>
      <c r="F10" s="1"/>
      <c r="G10" s="1"/>
      <c r="H10" s="1"/>
    </row>
    <row r="11" spans="1:8" x14ac:dyDescent="0.45">
      <c r="A11" s="15">
        <v>2</v>
      </c>
      <c r="B11" s="24">
        <f t="shared" ref="B11:B21" si="0">B10*(1+$B$6)+MAX(0,$B$5)</f>
        <v>12048.08</v>
      </c>
      <c r="C11" s="1"/>
      <c r="D11" s="1"/>
      <c r="E11" s="1"/>
      <c r="F11" s="1"/>
      <c r="G11" s="1"/>
      <c r="H11" s="1"/>
    </row>
    <row r="12" spans="1:8" x14ac:dyDescent="0.45">
      <c r="A12" s="15">
        <v>3</v>
      </c>
      <c r="B12" s="24">
        <f t="shared" si="0"/>
        <v>15614.46464</v>
      </c>
      <c r="C12" s="1"/>
      <c r="D12" s="1"/>
      <c r="E12" s="1"/>
      <c r="F12" s="1"/>
      <c r="G12" s="1"/>
      <c r="H12" s="1"/>
    </row>
    <row r="13" spans="1:8" x14ac:dyDescent="0.45">
      <c r="A13" s="15">
        <v>4</v>
      </c>
      <c r="B13" s="24">
        <f t="shared" si="0"/>
        <v>19209.380357120001</v>
      </c>
      <c r="C13" s="1"/>
      <c r="D13" s="1"/>
      <c r="E13" s="1"/>
      <c r="F13" s="1"/>
      <c r="G13" s="1"/>
      <c r="H13" s="1"/>
    </row>
    <row r="14" spans="1:8" x14ac:dyDescent="0.45">
      <c r="A14" s="15">
        <v>5</v>
      </c>
      <c r="B14" s="24">
        <f t="shared" si="0"/>
        <v>22833.055399976962</v>
      </c>
      <c r="C14" s="1"/>
      <c r="D14" s="1"/>
      <c r="E14" s="1"/>
      <c r="F14" s="1"/>
      <c r="G14" s="1"/>
      <c r="H14" s="1"/>
    </row>
    <row r="15" spans="1:8" x14ac:dyDescent="0.45">
      <c r="A15" s="15">
        <v>6</v>
      </c>
      <c r="B15" s="24">
        <f t="shared" si="0"/>
        <v>26485.719843176779</v>
      </c>
      <c r="C15" s="1"/>
      <c r="D15" s="1"/>
      <c r="E15" s="1"/>
      <c r="F15" s="1"/>
      <c r="G15" s="1"/>
      <c r="H15" s="1"/>
    </row>
    <row r="16" spans="1:8" x14ac:dyDescent="0.45">
      <c r="A16" s="15">
        <v>7</v>
      </c>
      <c r="B16" s="24">
        <f t="shared" si="0"/>
        <v>30167.605601922194</v>
      </c>
      <c r="C16" s="1"/>
      <c r="D16" s="1"/>
      <c r="E16" s="1"/>
      <c r="F16" s="1"/>
      <c r="G16" s="1"/>
      <c r="H16" s="1"/>
    </row>
    <row r="17" spans="1:8" x14ac:dyDescent="0.45">
      <c r="A17" s="15">
        <v>8</v>
      </c>
      <c r="B17" s="24">
        <f t="shared" si="0"/>
        <v>33878.946446737573</v>
      </c>
      <c r="C17" s="1"/>
      <c r="D17" s="1"/>
      <c r="E17" s="1"/>
      <c r="F17" s="1"/>
      <c r="G17" s="1"/>
      <c r="H17" s="1"/>
    </row>
    <row r="18" spans="1:8" x14ac:dyDescent="0.45">
      <c r="A18" s="15">
        <v>9</v>
      </c>
      <c r="B18" s="24">
        <f t="shared" si="0"/>
        <v>37619.978018311471</v>
      </c>
      <c r="C18" s="1"/>
      <c r="D18" s="1"/>
      <c r="E18" s="1"/>
      <c r="F18" s="1"/>
      <c r="G18" s="1"/>
      <c r="H18" s="1"/>
    </row>
    <row r="19" spans="1:8" x14ac:dyDescent="0.45">
      <c r="A19" s="15">
        <v>10</v>
      </c>
      <c r="B19" s="24">
        <f t="shared" si="0"/>
        <v>41390.937842457963</v>
      </c>
      <c r="C19" s="1"/>
      <c r="D19" s="1"/>
      <c r="E19" s="1"/>
      <c r="F19" s="1"/>
      <c r="G19" s="1"/>
      <c r="H19" s="1"/>
    </row>
    <row r="20" spans="1:8" x14ac:dyDescent="0.45">
      <c r="A20" s="15">
        <v>11</v>
      </c>
      <c r="B20" s="24">
        <f t="shared" si="0"/>
        <v>45192.065345197625</v>
      </c>
      <c r="C20" s="1"/>
      <c r="D20" s="1"/>
      <c r="E20" s="1"/>
      <c r="F20" s="1"/>
      <c r="G20" s="1"/>
      <c r="H20" s="1"/>
    </row>
    <row r="21" spans="1:8" x14ac:dyDescent="0.45">
      <c r="A21" s="15">
        <v>12</v>
      </c>
      <c r="B21" s="24">
        <f t="shared" si="0"/>
        <v>49023.601867959209</v>
      </c>
      <c r="C21" s="1"/>
      <c r="D21" s="1"/>
      <c r="E21" s="1"/>
      <c r="F21" s="1"/>
      <c r="G21" s="1"/>
      <c r="H21" s="1"/>
    </row>
    <row r="22" spans="1:8" x14ac:dyDescent="0.45">
      <c r="A22" s="1"/>
      <c r="B22" s="1"/>
      <c r="C22" s="1"/>
      <c r="D22" s="1"/>
      <c r="E22" s="1"/>
      <c r="F22" s="1"/>
      <c r="G22" s="1"/>
      <c r="H22" s="1"/>
    </row>
    <row r="23" spans="1:8" x14ac:dyDescent="0.45">
      <c r="A23" s="1"/>
      <c r="B23" s="1"/>
      <c r="C23" s="1"/>
      <c r="D23" s="1"/>
      <c r="E23" s="1"/>
      <c r="F23" s="1"/>
      <c r="G23" s="1"/>
      <c r="H23" s="1"/>
    </row>
    <row r="24" spans="1:8" x14ac:dyDescent="0.45">
      <c r="A24" s="1"/>
      <c r="B24" s="1"/>
      <c r="C24" s="1"/>
      <c r="D24" s="1"/>
      <c r="E24" s="1"/>
      <c r="F24" s="1"/>
      <c r="G24" s="1"/>
      <c r="H24" s="1"/>
    </row>
    <row r="25" spans="1:8" x14ac:dyDescent="0.45">
      <c r="A25" s="1"/>
      <c r="B25" s="1"/>
      <c r="C25" s="1"/>
      <c r="D25" s="1"/>
      <c r="E25" s="1"/>
      <c r="F25" s="1"/>
      <c r="G25" s="1"/>
      <c r="H25" s="1"/>
    </row>
    <row r="26" spans="1:8" x14ac:dyDescent="0.45">
      <c r="A26" s="1"/>
      <c r="B26" s="1"/>
      <c r="C26" s="1"/>
      <c r="D26" s="1"/>
      <c r="E26" s="1"/>
      <c r="F26" s="1"/>
      <c r="G26" s="1"/>
      <c r="H26" s="1"/>
    </row>
    <row r="27" spans="1:8" x14ac:dyDescent="0.45">
      <c r="A27" s="1"/>
      <c r="B27" s="1"/>
      <c r="C27" s="1"/>
      <c r="D27" s="1"/>
      <c r="E27" s="1"/>
      <c r="F27" s="1"/>
      <c r="G27" s="1"/>
      <c r="H27" s="1"/>
    </row>
    <row r="28" spans="1:8" x14ac:dyDescent="0.45">
      <c r="A28" s="1"/>
      <c r="B28" s="1"/>
      <c r="C28" s="1"/>
      <c r="D28" s="1"/>
      <c r="E28" s="1"/>
      <c r="F28" s="1"/>
      <c r="G28" s="1"/>
      <c r="H28" s="1"/>
    </row>
    <row r="29" spans="1:8" x14ac:dyDescent="0.45">
      <c r="A29" s="1"/>
      <c r="B29" s="1"/>
      <c r="C29" s="1"/>
      <c r="D29" s="1"/>
      <c r="E29" s="1"/>
      <c r="F29" s="1"/>
      <c r="G29" s="1"/>
      <c r="H29" s="1"/>
    </row>
    <row r="30" spans="1:8" x14ac:dyDescent="0.45">
      <c r="A30" s="1"/>
      <c r="B30" s="1"/>
      <c r="C30" s="1"/>
      <c r="D30" s="1"/>
      <c r="E30" s="1"/>
      <c r="F30" s="1"/>
      <c r="G30" s="1"/>
      <c r="H30" s="1"/>
    </row>
    <row r="31" spans="1:8" x14ac:dyDescent="0.45">
      <c r="A31" s="1"/>
      <c r="B31" s="1"/>
      <c r="C31" s="1"/>
      <c r="D31" s="1"/>
      <c r="E31" s="1"/>
      <c r="F31" s="1"/>
      <c r="G31" s="1"/>
      <c r="H31" s="1"/>
    </row>
    <row r="32" spans="1:8" x14ac:dyDescent="0.45">
      <c r="A32" s="1"/>
      <c r="B32" s="1"/>
      <c r="C32" s="1"/>
      <c r="D32" s="1"/>
      <c r="E32" s="1"/>
      <c r="F32" s="1"/>
      <c r="G32" s="1"/>
      <c r="H32" s="1"/>
    </row>
    <row r="33" spans="1:8" x14ac:dyDescent="0.45">
      <c r="A33" s="1"/>
      <c r="B33" s="1"/>
      <c r="C33" s="1"/>
      <c r="D33" s="1"/>
      <c r="E33" s="1"/>
      <c r="F33" s="1"/>
      <c r="G33" s="1"/>
      <c r="H33" s="1"/>
    </row>
    <row r="34" spans="1:8" x14ac:dyDescent="0.45">
      <c r="A34" s="1"/>
      <c r="B34" s="1"/>
      <c r="C34" s="1"/>
      <c r="D34" s="1"/>
      <c r="E34" s="1"/>
      <c r="F34" s="1"/>
      <c r="G34" s="1"/>
      <c r="H34" s="1"/>
    </row>
    <row r="35" spans="1:8" x14ac:dyDescent="0.45">
      <c r="A35" s="1"/>
      <c r="B35" s="1"/>
      <c r="C35" s="1"/>
      <c r="D35" s="1"/>
      <c r="E35" s="1"/>
      <c r="F35" s="1"/>
      <c r="G35" s="1"/>
      <c r="H35" s="1"/>
    </row>
    <row r="36" spans="1:8" x14ac:dyDescent="0.45">
      <c r="A36" s="1"/>
      <c r="B36" s="1"/>
      <c r="C36" s="1"/>
      <c r="D36" s="1"/>
      <c r="E36" s="1"/>
      <c r="F36" s="1"/>
      <c r="G36" s="1"/>
      <c r="H36" s="1"/>
    </row>
    <row r="37" spans="1:8" x14ac:dyDescent="0.45">
      <c r="A37" s="1"/>
      <c r="B37" s="1"/>
      <c r="C37" s="1"/>
      <c r="D37" s="1"/>
      <c r="E37" s="1"/>
      <c r="F37" s="1"/>
      <c r="G37" s="1"/>
      <c r="H37" s="1"/>
    </row>
    <row r="38" spans="1:8" x14ac:dyDescent="0.45">
      <c r="A38" s="1"/>
      <c r="B38" s="1"/>
      <c r="C38" s="1"/>
      <c r="D38" s="1"/>
      <c r="E38" s="1"/>
      <c r="F38" s="1"/>
      <c r="G38" s="1"/>
      <c r="H38" s="1"/>
    </row>
    <row r="39" spans="1:8" x14ac:dyDescent="0.45">
      <c r="A39" s="1"/>
      <c r="B39" s="1"/>
      <c r="C39" s="1"/>
      <c r="D39" s="1"/>
      <c r="E39" s="1"/>
      <c r="F39" s="1"/>
      <c r="G39" s="1"/>
      <c r="H39" s="1"/>
    </row>
    <row r="40" spans="1:8" x14ac:dyDescent="0.45">
      <c r="A40" s="1"/>
      <c r="B40" s="1"/>
      <c r="C40" s="1"/>
      <c r="D40" s="1"/>
      <c r="E40" s="1"/>
      <c r="F40" s="1"/>
      <c r="G40" s="1"/>
      <c r="H40" s="1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DASHBOARD</vt:lpstr>
      <vt:lpstr>CONFIG</vt:lpstr>
      <vt:lpstr>LANCAMENTOS</vt:lpstr>
      <vt:lpstr>PROJECAO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RINALDI</cp:lastModifiedBy>
  <dcterms:created xsi:type="dcterms:W3CDTF">2026-07-22T20:17:02Z</dcterms:created>
  <dcterms:modified xsi:type="dcterms:W3CDTF">2026-08-04T00:50:06Z</dcterms:modified>
</cp:coreProperties>
</file>