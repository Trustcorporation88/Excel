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O" sheetId="1" state="visible" r:id="rId1"/>
    <sheet xmlns:r="http://schemas.openxmlformats.org/officeDocument/2006/relationships" name="MEU_TEM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.00"/>
    <numFmt numFmtId="165" formatCode="0.0%"/>
    <numFmt numFmtId="166" formatCode="0.0"/>
  </numFmts>
  <fonts count="6">
    <font>
      <name val="Calibri"/>
      <family val="2"/>
      <color theme="1"/>
      <sz val="11"/>
      <scheme val="minor"/>
    </font>
    <font>
      <name val="Calibri"/>
      <b val="1"/>
      <color rgb="000A1322"/>
      <sz val="18"/>
    </font>
    <font>
      <name val="Calibri"/>
      <color rgb="005C6B82"/>
      <sz val="11"/>
    </font>
    <font>
      <b val="1"/>
      <color rgb="000A1322"/>
      <sz val="14"/>
    </font>
    <font>
      <b val="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6F1EA"/>
      </patternFill>
    </fill>
    <fill>
      <patternFill patternType="solid">
        <fgColor rgb="00FFFBEB"/>
      </patternFill>
    </fill>
    <fill>
      <patternFill patternType="solid">
        <fgColor rgb="000A1322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5" fillId="4" borderId="1" applyAlignment="1" pivotButton="0" quotePrefix="0" xfId="0">
      <alignment horizontal="center" vertical="center" wrapText="1"/>
    </xf>
    <xf numFmtId="165" fontId="0" fillId="0" borderId="1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3" borderId="1" pivotButton="0" quotePrefix="0" xfId="0"/>
    <xf numFmtId="0" fontId="0" fillId="3" borderId="1" pivotButton="0" quotePrefix="0" xfId="0"/>
    <xf numFmtId="164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17" customWidth="1" min="3" max="3"/>
    <col width="40" customWidth="1" min="4" max="4"/>
    <col width="12" customWidth="1" min="5" max="5"/>
  </cols>
  <sheetData>
    <row r="1" ht="28" customHeight="1">
      <c r="A1" s="1" t="inlineStr">
        <is>
          <t>Trust Excel · Precificação de Serviço</t>
        </is>
      </c>
    </row>
    <row r="2">
      <c r="A2" s="2" t="inlineStr">
        <is>
          <t>3 cenários automáticos: mínimo / ideal / premium</t>
        </is>
      </c>
    </row>
    <row r="3"/>
    <row r="4">
      <c r="A4" s="3" t="inlineStr">
        <is>
          <t>Serviço</t>
        </is>
      </c>
      <c r="B4" s="4" t="inlineStr">
        <is>
          <t>Consultoria / projeto sob demanda</t>
        </is>
      </c>
    </row>
    <row r="5">
      <c r="A5" s="3" t="inlineStr">
        <is>
          <t>Horas estimadas</t>
        </is>
      </c>
      <c r="B5" s="4" t="n">
        <v>20</v>
      </c>
    </row>
    <row r="6">
      <c r="A6" s="3" t="inlineStr">
        <is>
          <t>Custos variáveis da entrega</t>
        </is>
      </c>
      <c r="B6" s="5" t="n">
        <v>450</v>
      </c>
    </row>
    <row r="7">
      <c r="A7" s="3" t="inlineStr">
        <is>
          <t>Valor da hora (automático)</t>
        </is>
      </c>
      <c r="B7" s="5">
        <f>MEU_TEMPO!B8</f>
        <v/>
      </c>
    </row>
    <row r="8">
      <c r="A8" s="3" t="inlineStr">
        <is>
          <t>Custo total da entrega</t>
        </is>
      </c>
      <c r="B8" s="5">
        <f>(B5*B7)+B6</f>
        <v/>
      </c>
    </row>
    <row r="9"/>
    <row r="10">
      <c r="A10" s="6" t="inlineStr">
        <is>
          <t>Cenário</t>
        </is>
      </c>
      <c r="B10" s="6" t="inlineStr">
        <is>
          <t>Margem</t>
        </is>
      </c>
      <c r="C10" s="6" t="inlineStr">
        <is>
          <t>Preço sugerido</t>
        </is>
      </c>
      <c r="D10" s="6" t="inlineStr">
        <is>
          <t>Quando usar</t>
        </is>
      </c>
    </row>
    <row r="11">
      <c r="A11" s="4" t="inlineStr">
        <is>
          <t>Mínimo</t>
        </is>
      </c>
      <c r="B11" s="7" t="n">
        <v>0.15</v>
      </c>
      <c r="C11" s="5">
        <f>$B$8/(1-B11)</f>
        <v/>
      </c>
      <c r="D11" s="4" t="inlineStr">
        <is>
          <t>Entrar na conta / baixa complexidade</t>
        </is>
      </c>
    </row>
    <row r="12">
      <c r="A12" s="4" t="inlineStr">
        <is>
          <t>Ideal</t>
        </is>
      </c>
      <c r="B12" s="7" t="n">
        <v>0.3</v>
      </c>
      <c r="C12" s="5">
        <f>$B$8/(1-B12)</f>
        <v/>
      </c>
      <c r="D12" s="4" t="inlineStr">
        <is>
          <t>Padrão saudável de operação</t>
        </is>
      </c>
    </row>
    <row r="13">
      <c r="A13" s="4" t="inlineStr">
        <is>
          <t>Premium</t>
        </is>
      </c>
      <c r="B13" s="7" t="n">
        <v>0.5</v>
      </c>
      <c r="C13" s="5">
        <f>$B$8/(1-B13)</f>
        <v/>
      </c>
      <c r="D13" s="4" t="inlineStr">
        <is>
          <t>Urgência, especialização ou alto risco</t>
        </is>
      </c>
    </row>
    <row r="14"/>
    <row r="15">
      <c r="A15" t="inlineStr">
        <is>
          <t>Regra de desconto: não baixe preço — remova escopo. Horas a remover para um preço-alvo:</t>
        </is>
      </c>
    </row>
    <row r="16">
      <c r="A16" t="inlineStr">
        <is>
          <t>Preço-alvo do cliente</t>
        </is>
      </c>
      <c r="B16" s="8" t="n">
        <v>7000</v>
      </c>
    </row>
    <row r="17">
      <c r="A17" t="inlineStr">
        <is>
          <t>Horas máximas para fechar</t>
        </is>
      </c>
      <c r="B17" s="9">
        <f>MAX(0,((B16*(1-0.3))-B6)/B7)</f>
        <v/>
      </c>
    </row>
    <row r="18">
      <c r="A18" t="inlineStr">
        <is>
          <t>Automação TrustCorp: altere renda, horas e custos — todos os preços recalculam.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</cols>
  <sheetData>
    <row r="1" ht="28" customHeight="1">
      <c r="A1" s="1" t="inlineStr">
        <is>
          <t>Trust Excel · Valor da Hora</t>
        </is>
      </c>
    </row>
    <row r="2">
      <c r="A2" s="2" t="inlineStr">
        <is>
          <t>Base automática da precificação</t>
        </is>
      </c>
    </row>
    <row r="3"/>
    <row r="4">
      <c r="A4" s="3" t="inlineStr">
        <is>
          <t>Renda desejada / mês</t>
        </is>
      </c>
      <c r="B4" s="10" t="n">
        <v>18000</v>
      </c>
    </row>
    <row r="5">
      <c r="A5" s="3" t="inlineStr">
        <is>
          <t>Custos fixos mensais</t>
        </is>
      </c>
      <c r="B5" s="10" t="n">
        <v>3500</v>
      </c>
    </row>
    <row r="6">
      <c r="A6" s="3" t="inlineStr">
        <is>
          <t>Horas produtivas / mês</t>
        </is>
      </c>
      <c r="B6" s="11" t="n">
        <v>110</v>
      </c>
    </row>
    <row r="7"/>
    <row r="8">
      <c r="A8" s="3" t="inlineStr">
        <is>
          <t>Valor da sua hora</t>
        </is>
      </c>
      <c r="B8" s="12">
        <f>(B4+B5)/B6</f>
        <v/>
      </c>
    </row>
    <row r="9"/>
    <row r="10">
      <c r="A10" t="inlineStr">
        <is>
          <t>Dica: use 100–120h produtivas, não 160h. Honestidade aqui evita preço suicida.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2026-07-22T15:48:48Z</dcterms:created>
  <dcterms:modified xmlns:dcterms="http://purl.org/dc/terms/" xmlns:xsi="http://www.w3.org/2001/XMLSchema-instance" xsi:type="dcterms:W3CDTF">2026-07-22T15:48:48Z</dcterms:modified>
</cp:coreProperties>
</file>