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U_TEMP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0.0&quot; h&quot;"/>
  </numFmts>
  <fonts count="10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b val="1"/>
    </font>
    <font>
      <b val="1"/>
      <color rgb="000A1322"/>
      <sz val="18"/>
    </font>
    <font>
      <i val="1"/>
      <color rgb="008593A8"/>
    </font>
    <font>
      <b val="1"/>
      <sz val="14"/>
    </font>
    <font>
      <name val="Calibri"/>
      <b val="1"/>
      <color rgb="00FFFFFF"/>
      <sz val="11"/>
    </font>
    <font>
      <b val="1"/>
      <color rgb="000A1322"/>
      <sz val="14"/>
    </font>
  </fonts>
  <fills count="8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F8F4EE"/>
      </patternFill>
    </fill>
    <fill>
      <patternFill patternType="solid">
        <fgColor rgb="00FFFBEB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4" fontId="7" fillId="0" borderId="1" pivotButton="0" quotePrefix="0" xfId="0"/>
    <xf numFmtId="0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4" fontId="0" fillId="5" borderId="1" pivotButton="0" quotePrefix="0" xfId="0"/>
    <xf numFmtId="164" fontId="0" fillId="6" borderId="1" pivotButton="0" quotePrefix="0" xfId="0"/>
    <xf numFmtId="164" fontId="0" fillId="7" borderId="1" pivotButton="0" quotePrefix="0" xfId="0"/>
    <xf numFmtId="0" fontId="0" fillId="3" borderId="0" pivotButton="0" quotePrefix="0" xfId="0"/>
    <xf numFmtId="166" fontId="9" fillId="0" borderId="1" pivotButton="0" quotePrefix="0" xfId="0"/>
    <xf numFmtId="0" fontId="6" fillId="0" borderId="0" pivotButton="0" quotePrefix="0" xfId="0"/>
    <xf numFmtId="164" fontId="0" fillId="4" borderId="1" pivotButton="0" quotePrefix="0" xfId="0"/>
    <xf numFmtId="0" fontId="0" fillId="4" borderId="1" pivotButton="0" quotePrefix="0" xfId="0"/>
    <xf numFmtId="164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'DASHBOARD'!$A$12:$A$14</f>
            </numRef>
          </cat>
          <val>
            <numRef>
              <f>'DASHBOARD'!$C$12:$C$14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2" customWidth="1" min="1" max="1"/>
    <col width="36" customWidth="1" min="2" max="2"/>
    <col width="17" customWidth="1" min="3" max="3"/>
    <col width="41" customWidth="1" min="4" max="4"/>
    <col width="29" customWidth="1" min="5" max="5"/>
    <col width="12" customWidth="1" min="6" max="6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de Precificação</t>
        </is>
      </c>
    </row>
    <row r="3">
      <c r="A3" s="3" t="inlineStr">
        <is>
          <t>3 cenários automáticos com margem saudável</t>
        </is>
      </c>
    </row>
    <row r="4"/>
    <row r="5">
      <c r="A5" s="4" t="inlineStr">
        <is>
          <t>Serviço</t>
        </is>
      </c>
      <c r="B5" s="5" t="inlineStr">
        <is>
          <t>Consultoria / projeto sob demanda</t>
        </is>
      </c>
    </row>
    <row r="6">
      <c r="A6" s="4" t="inlineStr">
        <is>
          <t>Horas estimadas</t>
        </is>
      </c>
      <c r="B6" s="5" t="n">
        <v>24</v>
      </c>
    </row>
    <row r="7">
      <c r="A7" s="4" t="inlineStr">
        <is>
          <t>Custos variáveis</t>
        </is>
      </c>
      <c r="B7" s="6" t="n">
        <v>520</v>
      </c>
    </row>
    <row r="8">
      <c r="A8" s="4" t="inlineStr">
        <is>
          <t>Valor da hora</t>
        </is>
      </c>
      <c r="B8" s="6">
        <f>MEU_TEMPO!B9</f>
        <v/>
      </c>
    </row>
    <row r="9">
      <c r="A9" s="4" t="inlineStr">
        <is>
          <t>Custo total</t>
        </is>
      </c>
      <c r="B9" s="7">
        <f>(B6*B8)+B7</f>
        <v/>
      </c>
    </row>
    <row r="10"/>
    <row r="11" ht="22" customHeight="1">
      <c r="A11" s="8" t="inlineStr">
        <is>
          <t>Cenário</t>
        </is>
      </c>
      <c r="B11" s="8" t="inlineStr">
        <is>
          <t>Margem</t>
        </is>
      </c>
      <c r="C11" s="8" t="inlineStr">
        <is>
          <t>Preço sugerido</t>
        </is>
      </c>
      <c r="D11" s="8" t="inlineStr">
        <is>
          <t>Quando usar</t>
        </is>
      </c>
      <c r="E11" s="8" t="inlineStr">
        <is>
          <t>Faixa visual</t>
        </is>
      </c>
    </row>
    <row r="12">
      <c r="A12" s="5" t="inlineStr">
        <is>
          <t>Mínimo</t>
        </is>
      </c>
      <c r="B12" s="9" t="n">
        <v>0.15</v>
      </c>
      <c r="C12" s="10">
        <f>$B$9/(1-B12)</f>
        <v/>
      </c>
      <c r="D12" s="5" t="inlineStr">
        <is>
          <t>Entrar na conta / baixa complexidade</t>
        </is>
      </c>
      <c r="E12" s="5">
        <f>REPT("█",ROUND(B12*20,0))</f>
        <v/>
      </c>
    </row>
    <row r="13">
      <c r="A13" s="5" t="inlineStr">
        <is>
          <t>Ideal</t>
        </is>
      </c>
      <c r="B13" s="9" t="n">
        <v>0.3</v>
      </c>
      <c r="C13" s="11">
        <f>$B$9/(1-B13)</f>
        <v/>
      </c>
      <c r="D13" s="5" t="inlineStr">
        <is>
          <t>Padrão saudável de operação</t>
        </is>
      </c>
      <c r="E13" s="5">
        <f>REPT("█",ROUND(B13*20,0))</f>
        <v/>
      </c>
    </row>
    <row r="14">
      <c r="A14" s="5" t="inlineStr">
        <is>
          <t>Premium</t>
        </is>
      </c>
      <c r="B14" s="9" t="n">
        <v>0.5</v>
      </c>
      <c r="C14" s="12">
        <f>$B$9/(1-B14)</f>
        <v/>
      </c>
      <c r="D14" s="5" t="inlineStr">
        <is>
          <t>Urgência, especialização ou alto risco</t>
        </is>
      </c>
      <c r="E14" s="5">
        <f>REPT("█",ROUND(B14*20,0))</f>
        <v/>
      </c>
    </row>
    <row r="15"/>
    <row r="16"/>
    <row r="17"/>
    <row r="18"/>
    <row r="19"/>
    <row r="20"/>
    <row r="21"/>
    <row r="22"/>
    <row r="23"/>
    <row r="24"/>
    <row r="25"/>
    <row r="26"/>
    <row r="27"/>
    <row r="28">
      <c r="A28" s="13" t="inlineStr">
        <is>
          <t>Preço-alvo do cliente</t>
        </is>
      </c>
      <c r="B28" s="6" t="n">
        <v>8500</v>
      </c>
    </row>
    <row r="29">
      <c r="A29" s="13" t="inlineStr">
        <is>
          <t>Horas máximas p/ fechar (margem ideal 30%)</t>
        </is>
      </c>
      <c r="B29" s="14">
        <f>MAX(0,((B28*(1-0.3))-B7)/B8)</f>
        <v/>
      </c>
    </row>
    <row r="30"/>
    <row r="31">
      <c r="A31" s="15" t="inlineStr">
        <is>
          <t>Regra TrustCorp: não baixe preço — remova escopo. A planilha mostra quantas horas cortar.</t>
        </is>
      </c>
    </row>
  </sheetData>
  <mergeCells count="3">
    <mergeCell ref="A3:F3"/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Valor da Hora</t>
        </is>
      </c>
    </row>
    <row r="3">
      <c r="A3" s="3" t="inlineStr">
        <is>
          <t>Base automática da precificação</t>
        </is>
      </c>
    </row>
    <row r="4"/>
    <row r="5">
      <c r="A5" s="4" t="inlineStr">
        <is>
          <t>Renda desejada / mês</t>
        </is>
      </c>
      <c r="B5" s="16" t="n">
        <v>20000</v>
      </c>
    </row>
    <row r="6">
      <c r="A6" s="4" t="inlineStr">
        <is>
          <t>Custos fixos mensais</t>
        </is>
      </c>
      <c r="B6" s="16" t="n">
        <v>4200</v>
      </c>
    </row>
    <row r="7">
      <c r="A7" s="4" t="inlineStr">
        <is>
          <t>Horas produtivas / mês</t>
        </is>
      </c>
      <c r="B7" s="17" t="n">
        <v>110</v>
      </c>
    </row>
    <row r="8"/>
    <row r="9">
      <c r="A9" s="4" t="inlineStr">
        <is>
          <t>VALOR DA SUA HORA</t>
        </is>
      </c>
      <c r="B9" s="18">
        <f>(B5+B6)/B7</f>
        <v/>
      </c>
    </row>
    <row r="10"/>
    <row r="11">
      <c r="A11" s="15" t="inlineStr">
        <is>
          <t>Use 100–120h produtivas, não 160h. Honestidade aqui evita preço suicida.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