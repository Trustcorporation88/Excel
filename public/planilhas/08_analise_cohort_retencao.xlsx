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SAFRAS" sheetId="2" state="visible" r:id="rId4"/>
  </sheets>
  <definedNames>
    <definedName function="false" hidden="false" localSheetId="0" name="_xlnm.Print_Area" vbProcedure="false">DASHBOARD!$A$1:$L$32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<sst xmlns="http://schemas.openxmlformats.org/spreadsheetml/2006/main" count="91" uniqueCount="58">
  <si>
    <t xml:space="preserve">TRUST EXCEL  ·  TRUST CORPORATION</t>
  </si>
  <si>
    <t xml:space="preserve">Trust Cohort</t>
  </si>
  <si>
    <t xml:space="preserve">Matriz de safras · retenção · saúde do produto</t>
  </si>
  <si>
    <t xml:space="preserve">RETENÇÃO M1 (MÉDIA)</t>
  </si>
  <si>
    <t xml:space="preserve">RETENÇÃO M6 (MÉDIA)</t>
  </si>
  <si>
    <t xml:space="preserve">QUEDA INICIAL (M0→M1)</t>
  </si>
  <si>
    <t xml:space="preserve">MELHOR SAFRA (M1)</t>
  </si>
  <si>
    <t xml:space="preserve">RECORDE RETENÇÃO M1</t>
  </si>
  <si>
    <t xml:space="preserve">HEAT MAP DE RETENÇÃO (Até M6)</t>
  </si>
  <si>
    <t xml:space="preserve">CASCATA DE EVASÃO MÉDIA</t>
  </si>
  <si>
    <t xml:space="preserve">Safra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</si>
  <si>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</si>
  <si>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</si>
  <si>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</si>
  <si>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</si>
  <si>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</si>
  <si>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</si>
  <si>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Etapa</t>
  </si>
  <si>
    <t xml:space="preserve">Base</t>
  </si>
  <si>
    <t xml:space="preserve">Alta</t>
  </si>
  <si>
    <t xml:space="preserve">Baixa</t>
  </si>
  <si>
    <t xml:space="preserve">Total</t>
  </si>
  <si>
    <t xml:space="preserve">Δ</t>
  </si>
  <si>
    <t xml:space="preserve">Base (M0)</t>
  </si>
  <si>
    <t xml:space="preserve">Evasão M1</t>
  </si>
  <si>
    <t xml:space="preserve">Evasão M2</t>
  </si>
  <si>
    <t xml:space="preserve">Evasão M3</t>
  </si>
  <si>
    <t xml:space="preserve">Retidos M3</t>
  </si>
  <si>
    <t xml:space="preserve">MINI-SPARKLINES</t>
  </si>
  <si>
    <t xml:space="preserve">SPARK DE DECAIMENTO</t>
  </si>
  <si>
    <t xml:space="preserve">Indicador</t>
  </si>
  <si>
    <t xml:space="preserve">Atual</t>
  </si>
  <si>
    <t xml:space="preserve">S1</t>
  </si>
  <si>
    <t xml:space="preserve">S2</t>
  </si>
  <si>
    <t xml:space="preserve">S3</t>
  </si>
  <si>
    <t xml:space="preserve">S4</t>
  </si>
  <si>
    <t xml:space="preserve">Ponto</t>
  </si>
  <si>
    <t xml:space="preserve">Valor</t>
  </si>
  <si>
    <t xml:space="preserve">Spark</t>
  </si>
  <si>
    <t xml:space="preserve">M1 %</t>
  </si>
  <si>
    <t xml:space="preserve">M3 %</t>
  </si>
  <si>
    <t xml:space="preserve">M6 %</t>
  </si>
  <si>
    <t xml:space="preserve">Análise de Cohort</t>
  </si>
  <si>
    <t xml:space="preserve">Preencha a quantidade de clientes retidos em cada mês de vida</t>
  </si>
  <si>
    <t xml:space="preserve">M0 (Inic.)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</si>
  <si>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</si>
  <si>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</si>
  <si>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</si>
  <si>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</si>
  <si>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</si>
  <si>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</si>
  <si>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Jan</t>
  </si>
  <si>
    <t xml:space="preserve">Fev</t>
  </si>
  <si>
    <t xml:space="preserve">Mar</t>
  </si>
  <si>
    <t xml:space="preserve">Abr</t>
  </si>
  <si>
    <t xml:space="preserve">Mai</t>
  </si>
  <si>
    <t xml:space="preserve">Jun</t>
  </si>
  <si>
    <t xml:space="preserve">MATRIZ DE RETENÇÃO (%)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</si>
</sst>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"/>
    <numFmt numFmtId="166" formatCode="@"/>
    <numFmt numFmtId="167" formatCode="0%"/>
    <numFmt numFmtId="168" formatCode="#,##0;\(#,##0\);\—"/>
    <numFmt numFmtId="169" formatCode="#,##0.0;\(#,##0.0\);\—"/>
    <numFmt numFmtId="170" formatCode="0"/>
    <numFmt numFmtId="171" formatCode="0.00%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8"/>
      <color rgb="FFC99C66"/>
      <name val="Calibri"/>
      <family val="0"/>
      <charset val="1"/>
    </font>
    <font>
      <b val="true"/>
      <sz val="22"/>
      <color rgb="FFF3ECDD"/>
      <name val="Calibri"/>
      <family val="0"/>
      <charset val="1"/>
    </font>
    <font>
      <i val="true"/>
      <sz val="9"/>
      <color rgb="FF8A9691"/>
      <name val="Calibri"/>
      <family val="0"/>
      <charset val="1"/>
    </font>
    <font>
      <b val="true"/>
      <sz val="7"/>
      <color rgb="FF8A9691"/>
      <name val="Calibri"/>
      <family val="0"/>
      <charset val="1"/>
    </font>
    <font>
      <b val="true"/>
      <sz val="18"/>
      <color rgb="FFC99C66"/>
      <name val="Calibri"/>
      <family val="0"/>
      <charset val="1"/>
    </font>
    <font>
      <b val="true"/>
      <sz val="18"/>
      <color rgb="FFE0A94B"/>
      <name val="Calibri"/>
      <family val="0"/>
      <charset val="1"/>
    </font>
    <font>
      <b val="true"/>
      <sz val="18"/>
      <color rgb="FFD9534F"/>
      <name val="Calibri"/>
      <family val="0"/>
      <charset val="1"/>
    </font>
    <font>
      <b val="true"/>
      <sz val="18"/>
      <color rgb="FF43D07F"/>
      <name val="Calibri"/>
      <family val="0"/>
      <charset val="1"/>
    </font>
    <font>
      <i val="true"/>
      <sz val="7"/>
      <color rgb="FF8A9691"/>
      <name val="Calibri"/>
      <family val="0"/>
      <charset val="1"/>
    </font>
    <font>
      <b val="true"/>
      <sz val="10"/>
      <color rgb="FFF3ECDD"/>
      <name val="Calibri"/>
      <family val="0"/>
      <charset val="1"/>
    </font>
    <font>
      <b val="true"/>
      <sz val="9"/>
      <color rgb="FFC99C66"/>
      <name val="Calibri"/>
      <family val="0"/>
      <charset val="1"/>
    </font>
    <font>
      <b val="true"/>
      <sz val="8"/>
      <color rgb="FFF3ECDD"/>
      <name val="Calibri"/>
      <family val="0"/>
      <charset val="1"/>
    </font>
    <font>
      <sz val="8"/>
      <color rgb="FF0B1210"/>
      <name val="Calibri"/>
      <family val="0"/>
      <charset val="1"/>
    </font>
    <font>
      <sz val="8"/>
      <color rgb="FFF3ECDD"/>
      <name val="Calibri"/>
      <family val="0"/>
      <charset val="1"/>
    </font>
    <font>
      <sz val="8"/>
      <color rgb="FF8A9691"/>
      <name val="Calibri"/>
      <family val="0"/>
      <charset val="1"/>
    </font>
    <font>
      <sz val="7"/>
      <color rgb="FF8A9691"/>
      <name val="Calibri"/>
      <family val="0"/>
      <charset val="1"/>
    </font>
    <font>
      <sz val="8"/>
      <color rgb="FFC99C66"/>
      <name val="Calibri"/>
      <family val="0"/>
      <charset val="1"/>
    </font>
    <font>
      <sz val="7"/>
      <color rgb="FF43D07F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9"/>
      <color rgb="FFF3ECDD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B1210"/>
        <bgColor rgb="FF0E1713"/>
      </patternFill>
    </fill>
    <fill>
      <patternFill patternType="solid">
        <fgColor rgb="FF182620"/>
        <bgColor rgb="FF121C18"/>
      </patternFill>
    </fill>
    <fill>
      <patternFill patternType="solid">
        <fgColor rgb="FF1E3028"/>
        <bgColor rgb="FF182620"/>
      </patternFill>
    </fill>
    <fill>
      <patternFill patternType="solid">
        <fgColor rgb="FF121C18"/>
        <bgColor rgb="FF0E1713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2A3D34"/>
      </left>
      <right style="thin">
        <color rgb="FF2A3D34"/>
      </right>
      <top style="thin">
        <color rgb="FFC99C66"/>
      </top>
      <bottom style="thin">
        <color rgb="FF2A3D34"/>
      </bottom>
      <diagonal/>
    </border>
    <border diagonalUp="false" diagonalDown="false">
      <left style="thin">
        <color rgb="FF2A3D34"/>
      </left>
      <right style="thin">
        <color rgb="FF2A3D34"/>
      </right>
      <top style="thin">
        <color rgb="FF2A3D34"/>
      </top>
      <bottom style="thin">
        <color rgb="FF2A3D3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8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9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0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Calibri"/>
        <charset val="1"/>
        <family val="0"/>
        <b val="1"/>
        <color rgb="FF43D07F"/>
        <sz val="8"/>
      </font>
    </dxf>
    <dxf>
      <font>
        <name val="Calibri"/>
        <charset val="1"/>
        <family val="0"/>
        <b val="1"/>
        <color rgb="FFD9534F"/>
        <sz val="8"/>
      </font>
    </dxf>
  </dxfs>
  <colors>
    <indexedColors>
      <rgbColor rgb="FF000000"/>
      <rgbColor rgb="FFF9F9F9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B1210"/>
      <rgbColor rgb="FF808000"/>
      <rgbColor rgb="FF800080"/>
      <rgbColor rgb="FF008080"/>
      <rgbColor rgb="FFC0C0C0"/>
      <rgbColor rgb="FF878787"/>
      <rgbColor rgb="FF9999FF"/>
      <rgbColor rgb="FF993366"/>
      <rgbColor rgb="FFF3ECDD"/>
      <rgbColor rgb="FFCCFFFF"/>
      <rgbColor rgb="FF660066"/>
      <rgbColor rgb="FFC99C66"/>
      <rgbColor rgb="FF0066CC"/>
      <rgbColor rgb="FFD9D9D9"/>
      <rgbColor rgb="FF0E1713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3D07F"/>
      <rgbColor rgb="FF99CC00"/>
      <rgbColor rgb="FFFFCC00"/>
      <rgbColor rgb="FFE0A94B"/>
      <rgbColor rgb="FFD9534F"/>
      <rgbColor rgb="FF666699"/>
      <rgbColor rgb="FF8A9691"/>
      <rgbColor rgb="FF121C18"/>
      <rgbColor rgb="FF2E9E5B"/>
      <rgbColor rgb="FF182620"/>
      <rgbColor rgb="FF1E3028"/>
      <rgbColor rgb="FF993300"/>
      <rgbColor rgb="FF993366"/>
      <rgbColor rgb="FF333399"/>
      <rgbColor rgb="FF2A3D3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DejaVu Sans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Cascata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DASHBOARD!K12</c:f>
              <c:strCache>
                <c:ptCount val="1"/>
                <c:pt idx="0">
                  <c:v>Base</c:v>
                </c:pt>
              </c:strCache>
            </c:strRef>
          </c:tx>
          <c:spPr>
            <a:noFill/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DASHBOARD!$J$13:$J$17</c:f>
              <c:strCache>
                <c:ptCount val="5"/>
                <c:pt idx="0">
                  <c:v>Base (M0)</c:v>
                </c:pt>
                <c:pt idx="1">
                  <c:v>Evasão M1</c:v>
                </c:pt>
                <c:pt idx="2">
                  <c:v>Evasão M2</c:v>
                </c:pt>
                <c:pt idx="3">
                  <c:v>Evasão M3</c:v>
                </c:pt>
                <c:pt idx="4">
                  <c:v>Retidos M3</c:v>
                </c:pt>
              </c:strCache>
            </c:strRef>
          </c:cat>
          <c:val>
            <c:numRef>
              <c:f>DASHBOARD!$K$13:$K$17</c:f>
              <c:numCache>
                <c:formatCode>#,##0;\(#,##0\);\—</c:formatCode>
                <c:ptCount val="5"/>
                <c:pt idx="0">
                  <c:v>0</c:v>
                </c:pt>
                <c:pt idx="1">
                  <c:v>0.891329966329966</c:v>
                </c:pt>
                <c:pt idx="2">
                  <c:v>0.80719696969697</c:v>
                </c:pt>
                <c:pt idx="3">
                  <c:v>0.758417508417508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DASHBOARD!L12</c:f>
              <c:strCache>
                <c:ptCount val="1"/>
                <c:pt idx="0">
                  <c:v>Alta</c:v>
                </c:pt>
              </c:strCache>
            </c:strRef>
          </c:tx>
          <c:spPr>
            <a:solidFill>
              <a:srgbClr val="2e9e5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DASHBOARD!$J$13:$J$17</c:f>
              <c:strCache>
                <c:ptCount val="5"/>
                <c:pt idx="0">
                  <c:v>Base (M0)</c:v>
                </c:pt>
                <c:pt idx="1">
                  <c:v>Evasão M1</c:v>
                </c:pt>
                <c:pt idx="2">
                  <c:v>Evasão M2</c:v>
                </c:pt>
                <c:pt idx="3">
                  <c:v>Evasão M3</c:v>
                </c:pt>
                <c:pt idx="4">
                  <c:v>Retidos M3</c:v>
                </c:pt>
              </c:strCache>
            </c:strRef>
          </c:cat>
          <c:val>
            <c:numRef>
              <c:f>DASHBOARD!$L$13:$L$17</c:f>
              <c:numCache>
                <c:formatCode>#,##0;\(#,##0\);\—</c:formatCode>
                <c:ptCount val="5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0.758417508417508</c:v>
                </c:pt>
              </c:numCache>
            </c:numRef>
          </c:val>
        </c:ser>
        <c:ser>
          <c:idx val="2"/>
          <c:order val="2"/>
          <c:tx>
            <c:strRef>
              <c:f>DASHBOARD!M12</c:f>
              <c:strCache>
                <c:ptCount val="1"/>
                <c:pt idx="0">
                  <c:v>Baixa</c:v>
                </c:pt>
              </c:strCache>
            </c:strRef>
          </c:tx>
          <c:spPr>
            <a:solidFill>
              <a:srgbClr val="d9534f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DASHBOARD!$J$13:$J$17</c:f>
              <c:strCache>
                <c:ptCount val="5"/>
                <c:pt idx="0">
                  <c:v>Base (M0)</c:v>
                </c:pt>
                <c:pt idx="1">
                  <c:v>Evasão M1</c:v>
                </c:pt>
                <c:pt idx="2">
                  <c:v>Evasão M2</c:v>
                </c:pt>
                <c:pt idx="3">
                  <c:v>Evasão M3</c:v>
                </c:pt>
                <c:pt idx="4">
                  <c:v>Retidos M3</c:v>
                </c:pt>
              </c:strCache>
            </c:strRef>
          </c:cat>
          <c:val>
            <c:numRef>
              <c:f>DASHBOARD!$M$13:$M$17</c:f>
              <c:numCache>
                <c:formatCode>#,##0;\(#,##0\);\—</c:formatCode>
                <c:ptCount val="5"/>
                <c:pt idx="0">
                  <c:v>0</c:v>
                </c:pt>
                <c:pt idx="1">
                  <c:v>0.108670033670034</c:v>
                </c:pt>
                <c:pt idx="2">
                  <c:v>0.0841329966329967</c:v>
                </c:pt>
                <c:pt idx="3">
                  <c:v>0.0487794612794614</c:v>
                </c:pt>
                <c:pt idx="4">
                  <c:v>0</c:v>
                </c:pt>
              </c:numCache>
            </c:numRef>
          </c:val>
        </c:ser>
        <c:gapWidth val="150"/>
        <c:overlap val="100"/>
        <c:axId val="68340230"/>
        <c:axId val="3761608"/>
      </c:barChart>
      <c:catAx>
        <c:axId val="6834023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761608"/>
        <c:crosses val="autoZero"/>
        <c:auto val="1"/>
        <c:lblAlgn val="ctr"/>
        <c:lblOffset val="100"/>
        <c:noMultiLvlLbl val="0"/>
      </c:catAx>
      <c:valAx>
        <c:axId val="376160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(#,##0\);\—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8340230"/>
        <c:crosses val="autoZero"/>
        <c:crossBetween val="between"/>
      </c:valAx>
      <c:spPr>
        <a:solidFill>
          <a:srgbClr val="0e1713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DASHBOARD!I26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rgbClr val="c99c66"/>
            </a:solidFill>
            <a:ln w="15120">
              <a:solidFill>
                <a:srgbClr val="c99c6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512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DASHBOARD!$H$27:$H$32</c:f>
              <c:strCache>
                <c:ptCount val="6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</c:strCache>
            </c:strRef>
          </c:cat>
          <c:val>
            <c:numRef>
              <c:f>DASHBOARD!$I$27:$I$32</c:f>
              <c:numCache>
                <c:formatCode>#,##0.0;\(#,##0.0\);\—</c:formatCode>
                <c:ptCount val="6"/>
                <c:pt idx="0">
                  <c:v>89.1329966329966</c:v>
                </c:pt>
                <c:pt idx="1">
                  <c:v>80.719696969697</c:v>
                </c:pt>
                <c:pt idx="2">
                  <c:v>75.8417508417508</c:v>
                </c:pt>
                <c:pt idx="3">
                  <c:v>72.3989898989899</c:v>
                </c:pt>
                <c:pt idx="4">
                  <c:v>68.6784511784512</c:v>
                </c:pt>
                <c:pt idx="5">
                  <c:v>64.5494949494949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2796128"/>
        <c:axId val="29822966"/>
      </c:lineChart>
      <c:catAx>
        <c:axId val="82796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9822966"/>
        <c:crosses val="autoZero"/>
        <c:auto val="1"/>
        <c:lblAlgn val="ctr"/>
        <c:lblOffset val="100"/>
        <c:noMultiLvlLbl val="0"/>
      </c:catAx>
      <c:valAx>
        <c:axId val="29822966"/>
        <c:scaling>
          <c:orientation val="minMax"/>
        </c:scaling>
        <c:delete val="0"/>
        <c:axPos val="l"/>
        <c:numFmt formatCode="#,##0.0;\(#,##0.0\);\—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2796128"/>
        <c:crosses val="autoZero"/>
        <c:crossBetween val="between"/>
      </c:valAx>
      <c:spPr>
        <a:solidFill>
          <a:srgbClr val="0e1713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15</xdr:row>
      <xdr:rowOff>0</xdr:rowOff>
    </xdr:from>
    <xdr:to>
      <xdr:col>10</xdr:col>
      <xdr:colOff>735120</xdr:colOff>
      <xdr:row>22</xdr:row>
      <xdr:rowOff>178200</xdr:rowOff>
    </xdr:to>
    <xdr:graphicFrame>
      <xdr:nvGraphicFramePr>
        <xdr:cNvPr id="0" name="Chart 1"/>
        <xdr:cNvGraphicFramePr/>
      </xdr:nvGraphicFramePr>
      <xdr:xfrm>
        <a:off x="10134720" y="3152880"/>
        <a:ext cx="1979640" cy="151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24</xdr:row>
      <xdr:rowOff>0</xdr:rowOff>
    </xdr:from>
    <xdr:to>
      <xdr:col>11</xdr:col>
      <xdr:colOff>735120</xdr:colOff>
      <xdr:row>29</xdr:row>
      <xdr:rowOff>16920</xdr:rowOff>
    </xdr:to>
    <xdr:graphicFrame>
      <xdr:nvGraphicFramePr>
        <xdr:cNvPr id="1" name="Chart 2"/>
        <xdr:cNvGraphicFramePr/>
      </xdr:nvGraphicFramePr>
      <xdr:xfrm>
        <a:off x="11379240" y="4867200"/>
        <a:ext cx="1979640" cy="100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5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customHeight="true" zeroHeight="false" outlineLevelRow="0" outlineLevelCol="0"/>
  <cols>
    <col collapsed="false" customWidth="true" hidden="false" outlineLevel="0" max="1" min="1" style="0" width="2"/>
    <col collapsed="false" customWidth="true" hidden="false" outlineLevel="0" max="12" min="2" style="0" width="14"/>
    <col collapsed="false" customWidth="true" hidden="true" outlineLevel="0" max="31" min="26" style="0" width="13"/>
  </cols>
  <sheetData>
    <row r="1" customFormat="false" ht="13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2"/>
      <c r="N1" s="2"/>
    </row>
    <row r="2" customFormat="false" ht="27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2"/>
      <c r="N2" s="2"/>
    </row>
    <row r="3" customFormat="false" ht="13.5" hidden="false" customHeight="true" outlineLevel="0" collapsed="false">
      <c r="A3" s="4" t="s">
        <v>2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2"/>
      <c r="N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customFormat="false" ht="12.75" hidden="false" customHeight="true" outlineLevel="0" collapsed="false">
      <c r="A5" s="2"/>
      <c r="B5" s="5" t="s">
        <v>3</v>
      </c>
      <c r="C5" s="5"/>
      <c r="D5" s="5" t="s">
        <v>4</v>
      </c>
      <c r="E5" s="5"/>
      <c r="F5" s="5" t="s">
        <v>5</v>
      </c>
      <c r="G5" s="5"/>
      <c r="H5" s="5" t="s">
        <v>6</v>
      </c>
      <c r="I5" s="5"/>
      <c r="J5" s="5" t="s">
        <v>7</v>
      </c>
      <c r="K5" s="5"/>
      <c r="L5" s="2"/>
      <c r="M5" s="2"/>
      <c r="N5" s="2"/>
    </row>
    <row r="6" customFormat="false" ht="27.75" hidden="false" customHeight="true" outlineLevel="0" collapsed="false">
      <c r="A6" s="2"/>
      <c r="B6" s="6" t="n">
        <f aca="false">Z40</f>
        <v>0.891329966329966</v>
      </c>
      <c r="C6" s="6"/>
      <c r="D6" s="7" t="n">
        <f aca="false">Z41</f>
        <v>0.64549494949495</v>
      </c>
      <c r="E6" s="7"/>
      <c r="F6" s="8" t="n">
        <f aca="false">Z44</f>
        <v>0.108670033670034</v>
      </c>
      <c r="G6" s="8"/>
      <c r="H6" s="9" t="str">
        <f aca="false">Z42</f>
        <v>Jun</v>
      </c>
      <c r="I6" s="9"/>
      <c r="J6" s="10" t="n">
        <f aca="false">Z43</f>
        <v>0.925</v>
      </c>
      <c r="K6" s="10"/>
      <c r="L6" s="2"/>
      <c r="M6" s="2"/>
      <c r="N6" s="2"/>
    </row>
    <row r="7" customFormat="false" ht="12" hidden="false" customHeight="true" outlineLevel="0" collapsed="false">
      <c r="A7" s="2"/>
      <c r="B7" s="11"/>
      <c r="C7" s="11"/>
      <c r="D7" s="11"/>
      <c r="E7" s="11"/>
      <c r="F7" s="11"/>
      <c r="G7" s="11"/>
      <c r="H7" s="11"/>
      <c r="I7" s="11"/>
      <c r="J7" s="11"/>
      <c r="K7" s="11"/>
      <c r="L7" s="2"/>
      <c r="M7" s="2"/>
      <c r="N7" s="2"/>
    </row>
    <row r="8" customFormat="false" ht="15" hidden="false" customHeight="false" outlineLevel="0" collapsed="false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</row>
    <row r="9" customFormat="false" ht="18" hidden="false" customHeight="true" outlineLevel="0" collapsed="false">
      <c r="A9" s="2"/>
      <c r="B9" s="12" t="str">
        <f aca="false">IF(Z40&gt;0.8,"🟢 Ótima retenção no 1º mês. Produto tem fit. Escalar aquisição.",IF(Z40&gt;0.6,"🟡 Queda inicial moderada. Melhore onboarding ou perfil de cliente.","🔴 Churn alto. Produto furado (leaky bucket). Congele aquisição e foque no produto."))</f>
        <v>🟢 Ótima retenção no 1º mês. Produto tem fit. Escalar aquisição.</v>
      </c>
      <c r="C9" s="12"/>
      <c r="D9" s="12"/>
      <c r="E9" s="12"/>
      <c r="F9" s="12"/>
      <c r="G9" s="12"/>
      <c r="H9" s="12"/>
      <c r="I9" s="12"/>
      <c r="J9" s="12"/>
      <c r="K9" s="12"/>
      <c r="L9" s="2"/>
      <c r="M9" s="2"/>
      <c r="N9" s="2"/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customFormat="false" ht="15" hidden="false" customHeight="false" outlineLevel="0" collapsed="false">
      <c r="A11" s="2"/>
      <c r="B11" s="13" t="s">
        <v>8</v>
      </c>
      <c r="C11" s="2"/>
      <c r="D11" s="2"/>
      <c r="E11" s="2"/>
      <c r="F11" s="2"/>
      <c r="G11" s="2"/>
      <c r="H11" s="2"/>
      <c r="I11" s="2"/>
      <c r="J11" s="13" t="s">
        <v>9</v>
      </c>
      <c r="K11" s="2"/>
      <c r="L11" s="2"/>
      <c r="M11" s="2"/>
      <c r="N11" s="2"/>
    </row>
    <row r="12" customFormat="false" ht="18" hidden="false" customHeight="true" outlineLevel="0" collapsed="false">
      <c r="A12" s="2"/>
      <c r="B12" s="14" t="s">
        <v>10</v>
      </c>
      <c r="C12" s="14" t="s">
        <v>11</v>
      </c>
      <c r="D12" s="14" t="s">
        <v>12</v>
      </c>
      <c r="E12" s="14" t="s">
        <v>13</v>
      </c>
      <c r="F12" s="14" t="s">
        <v>14</v>
      </c>
      <c r="G12" s="14" t="s">
        <v>15</v>
      </c>
      <c r="H12" s="14" t="s">
        <v>16</v>
      </c>
      <c r="I12" s="2"/>
      <c r="J12" s="14" t="s">
        <v>17</v>
      </c>
      <c r="K12" s="14" t="s">
        <v>18</v>
      </c>
      <c r="L12" s="14" t="s">
        <v>19</v>
      </c>
      <c r="M12" s="14" t="s">
        <v>20</v>
      </c>
      <c r="N12" s="14" t="s">
        <v>21</v>
      </c>
      <c r="O12" s="14" t="s">
        <v>22</v>
      </c>
    </row>
    <row r="13" customFormat="false" ht="15" hidden="false" customHeight="false" outlineLevel="0" collapsed="false">
      <c r="A13" s="2"/>
      <c r="B13" s="15" t="str">
        <f aca="false">SAFRAS!A16</f>
        <v>Jan</v>
      </c>
      <c r="C13" s="16" t="n">
        <f aca="false">SAFRAS!B16</f>
        <v>0.85</v>
      </c>
      <c r="D13" s="16" t="n">
        <f aca="false">SAFRAS!C16</f>
        <v>0.75</v>
      </c>
      <c r="E13" s="16" t="n">
        <f aca="false">SAFRAS!D16</f>
        <v>0.7</v>
      </c>
      <c r="F13" s="16" t="n">
        <f aca="false">SAFRAS!E16</f>
        <v>0.65</v>
      </c>
      <c r="G13" s="16" t="n">
        <f aca="false">SAFRAS!F16</f>
        <v>0.6</v>
      </c>
      <c r="H13" s="16" t="n">
        <f aca="false">SAFRAS!G16</f>
        <v>0.58</v>
      </c>
      <c r="I13" s="2"/>
      <c r="J13" s="17" t="s">
        <v>23</v>
      </c>
      <c r="K13" s="18" t="n">
        <v>0</v>
      </c>
      <c r="L13" s="18" t="n">
        <f aca="false">IF(O13&gt;=0,O13,0)</f>
        <v>1</v>
      </c>
      <c r="M13" s="18" t="n">
        <f aca="false">IF(O13&lt;0,-O13,0)</f>
        <v>0</v>
      </c>
      <c r="N13" s="18" t="n">
        <f aca="false">O13</f>
        <v>1</v>
      </c>
      <c r="O13" s="19" t="n">
        <f aca="false">$Z$50</f>
        <v>1</v>
      </c>
    </row>
    <row r="14" customFormat="false" ht="15" hidden="false" customHeight="false" outlineLevel="0" collapsed="false">
      <c r="A14" s="2"/>
      <c r="B14" s="15" t="str">
        <f aca="false">SAFRAS!A17</f>
        <v>Fev</v>
      </c>
      <c r="C14" s="16" t="n">
        <f aca="false">SAFRAS!B17</f>
        <v>0.875</v>
      </c>
      <c r="D14" s="16" t="n">
        <f aca="false">SAFRAS!C17</f>
        <v>0.791666666666667</v>
      </c>
      <c r="E14" s="16" t="n">
        <f aca="false">SAFRAS!D17</f>
        <v>0.733333333333333</v>
      </c>
      <c r="F14" s="16" t="n">
        <f aca="false">SAFRAS!E17</f>
        <v>0.708333333333333</v>
      </c>
      <c r="G14" s="16" t="n">
        <f aca="false">SAFRAS!F17</f>
        <v>0.666666666666667</v>
      </c>
      <c r="H14" s="16" t="n">
        <f aca="false">SAFRAS!G17</f>
        <v>0.65</v>
      </c>
      <c r="I14" s="2"/>
      <c r="J14" s="17" t="s">
        <v>24</v>
      </c>
      <c r="K14" s="18" t="n">
        <f aca="false">IF(O14&gt;=0,N13,N13+O14)</f>
        <v>0.891329966329966</v>
      </c>
      <c r="L14" s="18" t="n">
        <f aca="false">IF(O14&gt;=0,O14,0)</f>
        <v>0</v>
      </c>
      <c r="M14" s="18" t="n">
        <f aca="false">IF(O14&lt;0,-O14,0)</f>
        <v>0.108670033670034</v>
      </c>
      <c r="N14" s="18" t="n">
        <f aca="false">N13+O14</f>
        <v>0.891329966329966</v>
      </c>
      <c r="O14" s="19" t="n">
        <f aca="false">$Z$51</f>
        <v>-0.108670033670034</v>
      </c>
    </row>
    <row r="15" customFormat="false" ht="15" hidden="false" customHeight="false" outlineLevel="0" collapsed="false">
      <c r="A15" s="2"/>
      <c r="B15" s="15" t="str">
        <f aca="false">SAFRAS!A18</f>
        <v>Mar</v>
      </c>
      <c r="C15" s="16" t="n">
        <f aca="false">SAFRAS!B18</f>
        <v>0.9</v>
      </c>
      <c r="D15" s="16" t="n">
        <f aca="false">SAFRAS!C18</f>
        <v>0.8</v>
      </c>
      <c r="E15" s="16" t="n">
        <f aca="false">SAFRAS!D18</f>
        <v>0.766666666666667</v>
      </c>
      <c r="F15" s="16" t="n">
        <f aca="false">SAFRAS!E18</f>
        <v>0.733333333333333</v>
      </c>
      <c r="G15" s="16" t="n">
        <f aca="false">SAFRAS!F18</f>
        <v>0.7</v>
      </c>
      <c r="H15" s="16" t="n">
        <f aca="false">SAFRAS!G18</f>
        <v>0.666666666666667</v>
      </c>
      <c r="I15" s="2"/>
      <c r="J15" s="17" t="s">
        <v>25</v>
      </c>
      <c r="K15" s="18" t="n">
        <f aca="false">IF(O15&gt;=0,N14,N14+O15)</f>
        <v>0.80719696969697</v>
      </c>
      <c r="L15" s="18" t="n">
        <f aca="false">IF(O15&gt;=0,O15,0)</f>
        <v>0</v>
      </c>
      <c r="M15" s="18" t="n">
        <f aca="false">IF(O15&lt;0,-O15,0)</f>
        <v>0.0841329966329967</v>
      </c>
      <c r="N15" s="18" t="n">
        <f aca="false">N14+O15</f>
        <v>0.80719696969697</v>
      </c>
      <c r="O15" s="19" t="n">
        <f aca="false">$Z$52</f>
        <v>-0.0841329966329967</v>
      </c>
    </row>
    <row r="16" customFormat="false" ht="15" hidden="false" customHeight="false" outlineLevel="0" collapsed="false">
      <c r="A16" s="2"/>
      <c r="B16" s="15" t="str">
        <f aca="false">SAFRAS!A19</f>
        <v>Abr</v>
      </c>
      <c r="C16" s="16" t="n">
        <f aca="false">SAFRAS!B19</f>
        <v>0.909090909090909</v>
      </c>
      <c r="D16" s="16" t="n">
        <f aca="false">SAFRAS!C19</f>
        <v>0.818181818181818</v>
      </c>
      <c r="E16" s="16" t="n">
        <f aca="false">SAFRAS!D19</f>
        <v>0.772727272727273</v>
      </c>
      <c r="F16" s="16" t="n">
        <f aca="false">SAFRAS!E19</f>
        <v>0.727272727272727</v>
      </c>
      <c r="G16" s="16" t="n">
        <f aca="false">SAFRAS!F19</f>
        <v>0.681818181818182</v>
      </c>
      <c r="H16" s="16" t="n">
        <f aca="false">SAFRAS!G19</f>
        <v>0.636363636363636</v>
      </c>
      <c r="I16" s="2"/>
      <c r="J16" s="17" t="s">
        <v>26</v>
      </c>
      <c r="K16" s="18" t="n">
        <f aca="false">IF(O16&gt;=0,N15,N15+O16)</f>
        <v>0.758417508417508</v>
      </c>
      <c r="L16" s="18" t="n">
        <f aca="false">IF(O16&gt;=0,O16,0)</f>
        <v>0</v>
      </c>
      <c r="M16" s="18" t="n">
        <f aca="false">IF(O16&lt;0,-O16,0)</f>
        <v>0.0487794612794614</v>
      </c>
      <c r="N16" s="18" t="n">
        <f aca="false">N15+O16</f>
        <v>0.758417508417508</v>
      </c>
      <c r="O16" s="19" t="n">
        <f aca="false">$Z$53</f>
        <v>-0.0487794612794614</v>
      </c>
    </row>
    <row r="17" customFormat="false" ht="15" hidden="false" customHeight="false" outlineLevel="0" collapsed="false">
      <c r="A17" s="2"/>
      <c r="B17" s="15" t="str">
        <f aca="false">SAFRAS!A20</f>
        <v>Mai</v>
      </c>
      <c r="C17" s="16" t="n">
        <f aca="false">SAFRAS!B20</f>
        <v>0.888888888888889</v>
      </c>
      <c r="D17" s="16" t="n">
        <f aca="false">SAFRAS!C20</f>
        <v>0.833333333333333</v>
      </c>
      <c r="E17" s="16" t="n">
        <f aca="false">SAFRAS!D20</f>
        <v>0.777777777777778</v>
      </c>
      <c r="F17" s="16" t="n">
        <f aca="false">SAFRAS!E20</f>
        <v>0.75</v>
      </c>
      <c r="G17" s="16" t="n">
        <f aca="false">SAFRAS!F20</f>
        <v>0.722222222222222</v>
      </c>
      <c r="H17" s="16" t="n">
        <f aca="false">SAFRAS!G20</f>
        <v>0.694444444444444</v>
      </c>
      <c r="I17" s="2"/>
      <c r="J17" s="17" t="s">
        <v>27</v>
      </c>
      <c r="K17" s="18" t="n">
        <v>0</v>
      </c>
      <c r="L17" s="18" t="n">
        <f aca="false">IF(O17&gt;=0,O17,0)</f>
        <v>0.758417508417508</v>
      </c>
      <c r="M17" s="18" t="n">
        <f aca="false">IF(O17&lt;0,-O17,0)</f>
        <v>0</v>
      </c>
      <c r="N17" s="18" t="n">
        <f aca="false">O17</f>
        <v>0.758417508417508</v>
      </c>
      <c r="O17" s="19" t="n">
        <f aca="false">$Z$54</f>
        <v>0.758417508417508</v>
      </c>
    </row>
    <row r="18" customFormat="false" ht="15" hidden="false" customHeight="false" outlineLevel="0" collapsed="false">
      <c r="A18" s="2"/>
      <c r="B18" s="15" t="str">
        <f aca="false">SAFRAS!A21</f>
        <v>Jun</v>
      </c>
      <c r="C18" s="16" t="n">
        <f aca="false">SAFRAS!B21</f>
        <v>0.925</v>
      </c>
      <c r="D18" s="16" t="n">
        <f aca="false">SAFRAS!C21</f>
        <v>0.85</v>
      </c>
      <c r="E18" s="16" t="n">
        <f aca="false">SAFRAS!D21</f>
        <v>0.8</v>
      </c>
      <c r="F18" s="16" t="n">
        <f aca="false">SAFRAS!E21</f>
        <v>0.775</v>
      </c>
      <c r="G18" s="16" t="n">
        <f aca="false">SAFRAS!F21</f>
        <v>0.75</v>
      </c>
      <c r="H18" s="16" t="str">
        <f aca="false">SAFRAS!G21</f>
        <v/>
      </c>
      <c r="I18" s="2"/>
      <c r="J18" s="2"/>
      <c r="K18" s="2"/>
      <c r="L18" s="2"/>
      <c r="M18" s="2"/>
      <c r="N18" s="2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customFormat="false" ht="15" hidden="false" customHeight="false" outlineLevel="0" collapsed="false">
      <c r="A25" s="2"/>
      <c r="B25" s="13" t="s">
        <v>28</v>
      </c>
      <c r="C25" s="2"/>
      <c r="D25" s="2"/>
      <c r="E25" s="2"/>
      <c r="F25" s="2"/>
      <c r="G25" s="2"/>
      <c r="H25" s="13" t="s">
        <v>29</v>
      </c>
      <c r="I25" s="2"/>
      <c r="J25" s="2"/>
      <c r="K25" s="2"/>
      <c r="L25" s="2"/>
      <c r="M25" s="2"/>
      <c r="N25" s="2"/>
    </row>
    <row r="26" customFormat="false" ht="18" hidden="false" customHeight="true" outlineLevel="0" collapsed="false">
      <c r="A26" s="2"/>
      <c r="B26" s="14" t="s">
        <v>30</v>
      </c>
      <c r="C26" s="14" t="s">
        <v>31</v>
      </c>
      <c r="D26" s="14" t="s">
        <v>32</v>
      </c>
      <c r="E26" s="14" t="s">
        <v>33</v>
      </c>
      <c r="F26" s="14" t="s">
        <v>34</v>
      </c>
      <c r="G26" s="14" t="s">
        <v>35</v>
      </c>
      <c r="H26" s="14" t="s">
        <v>36</v>
      </c>
      <c r="I26" s="14" t="s">
        <v>37</v>
      </c>
      <c r="J26" s="14" t="s">
        <v>38</v>
      </c>
      <c r="K26" s="2"/>
      <c r="L26" s="2"/>
      <c r="M26" s="2"/>
      <c r="N26" s="2"/>
    </row>
    <row r="27" customFormat="false" ht="15" hidden="false" customHeight="false" outlineLevel="0" collapsed="false">
      <c r="A27" s="2"/>
      <c r="B27" s="17" t="s">
        <v>39</v>
      </c>
      <c r="C27" s="20" t="n">
        <f aca="false">$Z$40*100</f>
        <v>89.1329966329966</v>
      </c>
      <c r="D27" s="21" t="n">
        <f aca="false">SAFRAS!B16*100</f>
        <v>85</v>
      </c>
      <c r="E27" s="21" t="n">
        <f aca="false">SAFRAS!B17*100</f>
        <v>87.5</v>
      </c>
      <c r="F27" s="21" t="n">
        <f aca="false">SAFRAS!B18*100</f>
        <v>90</v>
      </c>
      <c r="G27" s="21" t="n">
        <f aca="false">SAFRAS!B19*100</f>
        <v>90.9090909090909</v>
      </c>
      <c r="H27" s="21" t="s">
        <v>11</v>
      </c>
      <c r="I27" s="22" t="n">
        <f aca="false">$Z$40*100</f>
        <v>89.1329966329966</v>
      </c>
      <c r="J27" s="23" t="str">
        <f aca="false">IF(OR(I27="",NOT(ISNUMBER(I27))),"",REPT("▬",MAX(1,ROUND((I27-(MIN(I27:I32)))/MAX(0.000000001,(MAX(I27:I32))-(MIN(I27:I32)))*10,0))))</f>
        <v>▬▬▬▬▬▬▬▬▬▬</v>
      </c>
      <c r="K27" s="2"/>
      <c r="L27" s="2"/>
      <c r="M27" s="2"/>
      <c r="N27" s="2"/>
    </row>
    <row r="28" customFormat="false" ht="15" hidden="false" customHeight="false" outlineLevel="0" collapsed="false">
      <c r="A28" s="2"/>
      <c r="B28" s="17" t="s">
        <v>40</v>
      </c>
      <c r="C28" s="20" t="n">
        <f aca="false">AVERAGE(SAFRAS!D16:D21)*100</f>
        <v>75.8417508417508</v>
      </c>
      <c r="D28" s="21" t="n">
        <f aca="false">SAFRAS!D16*100</f>
        <v>70</v>
      </c>
      <c r="E28" s="21" t="n">
        <f aca="false">SAFRAS!D17*100</f>
        <v>73.3333333333333</v>
      </c>
      <c r="F28" s="21" t="n">
        <f aca="false">SAFRAS!D18*100</f>
        <v>76.6666666666667</v>
      </c>
      <c r="G28" s="21" t="n">
        <f aca="false">SAFRAS!D19*100</f>
        <v>77.2727272727273</v>
      </c>
      <c r="H28" s="21" t="s">
        <v>12</v>
      </c>
      <c r="I28" s="22" t="n">
        <f aca="false">AVERAGE(SAFRAS!C16:C21)*100</f>
        <v>80.719696969697</v>
      </c>
      <c r="J28" s="23" t="str">
        <f aca="false">IF(OR(I28="",NOT(ISNUMBER(I28))),"",REPT("▬",MAX(1,ROUND((I28-(MIN(I27:I32)))/MAX(0.000000001,(MAX(I27:I32))-(MIN(I27:I32)))*10,0))))</f>
        <v>▬▬▬▬▬▬▬</v>
      </c>
      <c r="K28" s="2"/>
      <c r="L28" s="2"/>
      <c r="M28" s="2"/>
      <c r="N28" s="2"/>
    </row>
    <row r="29" customFormat="false" ht="15" hidden="false" customHeight="false" outlineLevel="0" collapsed="false">
      <c r="A29" s="2"/>
      <c r="B29" s="17" t="s">
        <v>41</v>
      </c>
      <c r="C29" s="20" t="n">
        <f aca="false">$Z$41*100</f>
        <v>64.5494949494949</v>
      </c>
      <c r="D29" s="21" t="n">
        <f aca="false">SAFRAS!G16*100</f>
        <v>58</v>
      </c>
      <c r="E29" s="21" t="n">
        <f aca="false">SAFRAS!G17*100</f>
        <v>65</v>
      </c>
      <c r="F29" s="21" t="n">
        <f aca="false">SAFRAS!G18*100</f>
        <v>66.6666666666667</v>
      </c>
      <c r="G29" s="21" t="n">
        <f aca="false">SAFRAS!G19*100</f>
        <v>63.6363636363636</v>
      </c>
      <c r="H29" s="21" t="s">
        <v>13</v>
      </c>
      <c r="I29" s="22" t="n">
        <f aca="false">AVERAGE(SAFRAS!D16:D21)*100</f>
        <v>75.8417508417508</v>
      </c>
      <c r="J29" s="23" t="str">
        <f aca="false">IF(OR(I29="",NOT(ISNUMBER(I29))),"",REPT("▬",MAX(1,ROUND((I29-(MIN(I27:I32)))/MAX(0.000000001,(MAX(I27:I32))-(MIN(I27:I32)))*10,0))))</f>
        <v>▬▬▬▬▬</v>
      </c>
      <c r="K29" s="2"/>
      <c r="L29" s="2"/>
      <c r="M29" s="2"/>
      <c r="N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  <c r="G30" s="2"/>
      <c r="H30" s="24" t="s">
        <v>14</v>
      </c>
      <c r="I30" s="22" t="n">
        <f aca="false">AVERAGE(SAFRAS!E16:E21)*100</f>
        <v>72.3989898989899</v>
      </c>
      <c r="J30" s="25" t="str">
        <f aca="false">IF(OR(I30="",NOT(ISNUMBER(I30))),"",REPT("▬",MAX(1,ROUND((I30-(MIN(I27:I32)))/MAX(0.000000001,(MAX(I27:I32))-(MIN(I27:I32)))*10,0))))</f>
        <v>▬▬▬</v>
      </c>
      <c r="K30" s="2"/>
      <c r="L30" s="2"/>
      <c r="M30" s="2"/>
      <c r="N30" s="2"/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  <c r="G31" s="2"/>
      <c r="H31" s="24" t="s">
        <v>15</v>
      </c>
      <c r="I31" s="22" t="n">
        <f aca="false">AVERAGE(SAFRAS!F16:F21)*100</f>
        <v>68.6784511784512</v>
      </c>
      <c r="J31" s="25" t="str">
        <f aca="false">IF(OR(I31="",NOT(ISNUMBER(I31))),"",REPT("▬",MAX(1,ROUND((I31-(MIN(I27:I32)))/MAX(0.000000001,(MAX(I27:I32))-(MIN(I27:I32)))*10,0))))</f>
        <v>▬▬</v>
      </c>
      <c r="K31" s="2"/>
      <c r="L31" s="2"/>
      <c r="M31" s="2"/>
      <c r="N31" s="2"/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  <c r="G32" s="2"/>
      <c r="H32" s="24" t="s">
        <v>16</v>
      </c>
      <c r="I32" s="22" t="n">
        <f aca="false">$Z$41*100</f>
        <v>64.5494949494949</v>
      </c>
      <c r="J32" s="25" t="str">
        <f aca="false">IF(OR(I32="",NOT(ISNUMBER(I32))),"",REPT("▬",MAX(1,ROUND((I32-(MIN(I27:I32)))/MAX(0.000000001,(MAX(I27:I32))-(MIN(I27:I32)))*10,0))))</f>
        <v>▬</v>
      </c>
      <c r="K32" s="2"/>
      <c r="L32" s="2"/>
      <c r="M32" s="2"/>
      <c r="N32" s="2"/>
    </row>
    <row r="33" customFormat="false" ht="1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customFormat="false" ht="1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Z40" s="26" t="n">
        <f aca="false">AVERAGE(SAFRAS!B16:B21)</f>
        <v>0.891329966329966</v>
      </c>
    </row>
    <row r="41" customFormat="false" ht="15" hidden="false" customHeight="false" outlineLevel="0" collapsed="false">
      <c r="Z41" s="26" t="n">
        <f aca="false">AVERAGE(SAFRAS!G16:G21)</f>
        <v>0.64549494949495</v>
      </c>
    </row>
    <row r="42" customFormat="false" ht="15" hidden="false" customHeight="false" outlineLevel="0" collapsed="false">
      <c r="Z42" s="0" t="str">
        <f aca="false">INDEX(SAFRAS!A16:A21,MATCH(MAX(SAFRAS!B16:B21),SAFRAS!B16:B21,0))</f>
        <v>Jun</v>
      </c>
    </row>
    <row r="43" customFormat="false" ht="15" hidden="false" customHeight="false" outlineLevel="0" collapsed="false">
      <c r="Z43" s="26" t="n">
        <f aca="false">MAX(SAFRAS!B16:B21)</f>
        <v>0.925</v>
      </c>
    </row>
    <row r="44" customFormat="false" ht="15" hidden="false" customHeight="false" outlineLevel="0" collapsed="false">
      <c r="Z44" s="26" t="n">
        <f aca="false">1-Z40</f>
        <v>0.108670033670034</v>
      </c>
    </row>
    <row r="50" customFormat="false" ht="15" hidden="false" customHeight="false" outlineLevel="0" collapsed="false">
      <c r="Z50" s="0" t="n">
        <v>1</v>
      </c>
    </row>
    <row r="51" customFormat="false" ht="15" hidden="false" customHeight="false" outlineLevel="0" collapsed="false">
      <c r="Z51" s="26" t="n">
        <f aca="false">Z40-1</f>
        <v>-0.108670033670034</v>
      </c>
    </row>
    <row r="52" customFormat="false" ht="15" hidden="false" customHeight="false" outlineLevel="0" collapsed="false">
      <c r="Z52" s="26" t="n">
        <f aca="false">AVERAGE(SAFRAS!C16:C21)-Z40</f>
        <v>-0.0841329966329967</v>
      </c>
    </row>
    <row r="53" customFormat="false" ht="15" hidden="false" customHeight="false" outlineLevel="0" collapsed="false">
      <c r="Z53" s="26" t="n">
        <f aca="false">AVERAGE(SAFRAS!D16:D21)-AVERAGE(SAFRAS!C16:C21)</f>
        <v>-0.0487794612794614</v>
      </c>
    </row>
    <row r="54" customFormat="false" ht="15" hidden="false" customHeight="false" outlineLevel="0" collapsed="false">
      <c r="Z54" s="26" t="n">
        <f aca="false">AVERAGE(SAFRAS!D16:D21)</f>
        <v>0.758417508417508</v>
      </c>
    </row>
  </sheetData>
  <mergeCells count="19">
    <mergeCell ref="A1:L1"/>
    <mergeCell ref="A2:L2"/>
    <mergeCell ref="A3:L3"/>
    <mergeCell ref="B5:C5"/>
    <mergeCell ref="D5:E5"/>
    <mergeCell ref="F5:G5"/>
    <mergeCell ref="H5:I5"/>
    <mergeCell ref="J5:K5"/>
    <mergeCell ref="B6:C6"/>
    <mergeCell ref="D6:E6"/>
    <mergeCell ref="F6:G6"/>
    <mergeCell ref="H6:I6"/>
    <mergeCell ref="J6:K6"/>
    <mergeCell ref="B7:C7"/>
    <mergeCell ref="D7:E7"/>
    <mergeCell ref="F7:G7"/>
    <mergeCell ref="H7:I7"/>
    <mergeCell ref="J7:K7"/>
    <mergeCell ref="B9:K9"/>
  </mergeCells>
  <conditionalFormatting sqref="C13:H18">
    <cfRule type="colorScale" priority="2">
      <colorScale>
        <cfvo type="num" val="0"/>
        <cfvo type="num" val="0.5"/>
        <cfvo type="num" val="1"/>
        <color rgb="FFD9534F"/>
        <color rgb="FFE0A94B"/>
        <color rgb="FF2E9E5B"/>
      </colorScale>
    </cfRule>
  </conditionalFormatting>
  <conditionalFormatting sqref="O13:O17">
    <cfRule type="cellIs" priority="3" operator="greaterThan" aboveAverage="0" equalAverage="0" bottom="0" percent="0" rank="0" text="" dxfId="0">
      <formula>0</formula>
    </cfRule>
    <cfRule type="cellIs" priority="4" operator="lessThan" aboveAverage="0" equalAverage="0" bottom="0" percent="0" rank="0" text="" dxfId="1">
      <formula>0</formula>
    </cfRule>
  </conditionalFormatting>
  <conditionalFormatting sqref="C27:C29">
    <cfRule type="dataBar" priority="5">
      <dataBar showValue="1" minLength="10" maxLength="90">
        <cfvo type="min" val="0"/>
        <cfvo type="max" val="0"/>
        <color rgb="FFC99C66"/>
      </dataBar>
      <extLst>
        <ext xmlns:x14="http://schemas.microsoft.com/office/spreadsheetml/2009/9/main" uri="{B025F937-C7B1-47D3-B67F-A62EFF666E3E}">
          <x14:id>{F43ED66B-F129-482E-A1EF-F08EA919FAA0}</x14:id>
        </ext>
      </extLst>
    </cfRule>
  </conditionalFormatting>
  <printOptions headings="false" gridLines="false" gridLinesSet="true" horizontalCentered="true" verticalCentered="false"/>
  <pageMargins left="0.25" right="0.25" top="0.3" bottom="0.3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43ED66B-F129-482E-A1EF-F08EA919FAA0}">
            <x14:dataBar minLength="10" maxLength="90" axisPosition="none" gradient="true">
              <x14:cfvo type="min"/>
              <x14:cfvo type="max"/>
              <x14:negativeFillColor rgb="FFC99C66"/>
              <x14:axisColor rgb="FF000000"/>
            </x14:dataBar>
          </x14:cfRule>
          <xm:sqref>C27:C29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collapsed="false" customWidth="true" hidden="false" outlineLevel="0" max="2" min="1" style="0" width="12"/>
    <col collapsed="false" customWidth="true" hidden="false" outlineLevel="0" max="14" min="3" style="0" width="10"/>
  </cols>
  <sheetData>
    <row r="1" customFormat="false" ht="13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2"/>
      <c r="P1" s="2"/>
    </row>
    <row r="2" customFormat="false" ht="27.75" hidden="false" customHeight="true" outlineLevel="0" collapsed="false">
      <c r="A2" s="3" t="s">
        <v>42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"/>
      <c r="P2" s="2"/>
    </row>
    <row r="3" customFormat="false" ht="13.5" hidden="false" customHeight="true" outlineLevel="0" collapsed="false">
      <c r="A3" s="4" t="s">
        <v>43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2"/>
      <c r="P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customFormat="false" ht="18" hidden="false" customHeight="true" outlineLevel="0" collapsed="false">
      <c r="A5" s="14" t="s">
        <v>10</v>
      </c>
      <c r="B5" s="14" t="s">
        <v>44</v>
      </c>
      <c r="C5" s="14" t="s">
        <v>11</v>
      </c>
      <c r="D5" s="14" t="s">
        <v>12</v>
      </c>
      <c r="E5" s="14" t="s">
        <v>13</v>
      </c>
      <c r="F5" s="14" t="s">
        <v>14</v>
      </c>
      <c r="G5" s="14" t="s">
        <v>15</v>
      </c>
      <c r="H5" s="14" t="s">
        <v>16</v>
      </c>
      <c r="I5" s="14" t="s">
        <v>45</v>
      </c>
      <c r="J5" s="14" t="s">
        <v>46</v>
      </c>
      <c r="K5" s="14" t="s">
        <v>47</v>
      </c>
      <c r="L5" s="14" t="s">
        <v>48</v>
      </c>
      <c r="M5" s="14" t="s">
        <v>49</v>
      </c>
      <c r="N5" s="14" t="s">
        <v>50</v>
      </c>
      <c r="O5" s="2"/>
      <c r="P5" s="2"/>
    </row>
    <row r="6" customFormat="false" ht="15" hidden="false" customHeight="false" outlineLevel="0" collapsed="false">
      <c r="A6" s="27" t="s">
        <v>51</v>
      </c>
      <c r="B6" s="28" t="n">
        <v>100</v>
      </c>
      <c r="C6" s="29" t="n">
        <v>85</v>
      </c>
      <c r="D6" s="29" t="n">
        <v>75</v>
      </c>
      <c r="E6" s="29" t="n">
        <v>70</v>
      </c>
      <c r="F6" s="29" t="n">
        <v>65</v>
      </c>
      <c r="G6" s="29" t="n">
        <v>60</v>
      </c>
      <c r="H6" s="29" t="n">
        <v>58</v>
      </c>
      <c r="I6" s="29" t="n">
        <v>55</v>
      </c>
      <c r="J6" s="29" t="n">
        <v>50</v>
      </c>
      <c r="K6" s="29" t="n">
        <v>48</v>
      </c>
      <c r="L6" s="29" t="n">
        <v>45</v>
      </c>
      <c r="M6" s="29" t="n">
        <v>45</v>
      </c>
      <c r="N6" s="29" t="n">
        <v>42</v>
      </c>
      <c r="O6" s="2"/>
      <c r="P6" s="2"/>
    </row>
    <row r="7" customFormat="false" ht="15" hidden="false" customHeight="false" outlineLevel="0" collapsed="false">
      <c r="A7" s="27" t="s">
        <v>52</v>
      </c>
      <c r="B7" s="28" t="n">
        <v>120</v>
      </c>
      <c r="C7" s="29" t="n">
        <v>105</v>
      </c>
      <c r="D7" s="29" t="n">
        <v>95</v>
      </c>
      <c r="E7" s="29" t="n">
        <v>88</v>
      </c>
      <c r="F7" s="29" t="n">
        <v>85</v>
      </c>
      <c r="G7" s="29" t="n">
        <v>80</v>
      </c>
      <c r="H7" s="29" t="n">
        <v>78</v>
      </c>
      <c r="I7" s="29" t="n">
        <v>75</v>
      </c>
      <c r="J7" s="29" t="n">
        <v>70</v>
      </c>
      <c r="K7" s="29" t="n">
        <v>68</v>
      </c>
      <c r="L7" s="29" t="n">
        <v>65</v>
      </c>
      <c r="M7" s="29"/>
      <c r="N7" s="29"/>
      <c r="O7" s="2"/>
      <c r="P7" s="2"/>
    </row>
    <row r="8" customFormat="false" ht="15" hidden="false" customHeight="false" outlineLevel="0" collapsed="false">
      <c r="A8" s="27" t="s">
        <v>53</v>
      </c>
      <c r="B8" s="28" t="n">
        <v>150</v>
      </c>
      <c r="C8" s="29" t="n">
        <v>135</v>
      </c>
      <c r="D8" s="29" t="n">
        <v>120</v>
      </c>
      <c r="E8" s="29" t="n">
        <v>115</v>
      </c>
      <c r="F8" s="29" t="n">
        <v>110</v>
      </c>
      <c r="G8" s="29" t="n">
        <v>105</v>
      </c>
      <c r="H8" s="29" t="n">
        <v>100</v>
      </c>
      <c r="I8" s="29" t="n">
        <v>95</v>
      </c>
      <c r="J8" s="29" t="n">
        <v>90</v>
      </c>
      <c r="K8" s="29"/>
      <c r="L8" s="29"/>
      <c r="M8" s="29"/>
      <c r="N8" s="29"/>
      <c r="O8" s="2"/>
      <c r="P8" s="2"/>
    </row>
    <row r="9" customFormat="false" ht="15" hidden="false" customHeight="false" outlineLevel="0" collapsed="false">
      <c r="A9" s="27" t="s">
        <v>54</v>
      </c>
      <c r="B9" s="28" t="n">
        <v>110</v>
      </c>
      <c r="C9" s="29" t="n">
        <v>100</v>
      </c>
      <c r="D9" s="29" t="n">
        <v>90</v>
      </c>
      <c r="E9" s="29" t="n">
        <v>85</v>
      </c>
      <c r="F9" s="29" t="n">
        <v>80</v>
      </c>
      <c r="G9" s="29" t="n">
        <v>75</v>
      </c>
      <c r="H9" s="29" t="n">
        <v>70</v>
      </c>
      <c r="I9" s="29" t="n">
        <v>65</v>
      </c>
      <c r="J9" s="29"/>
      <c r="K9" s="29"/>
      <c r="L9" s="29"/>
      <c r="M9" s="29"/>
      <c r="N9" s="29"/>
      <c r="O9" s="2"/>
      <c r="P9" s="2"/>
    </row>
    <row r="10" customFormat="false" ht="15" hidden="false" customHeight="false" outlineLevel="0" collapsed="false">
      <c r="A10" s="27" t="s">
        <v>55</v>
      </c>
      <c r="B10" s="28" t="n">
        <v>180</v>
      </c>
      <c r="C10" s="29" t="n">
        <v>160</v>
      </c>
      <c r="D10" s="29" t="n">
        <v>150</v>
      </c>
      <c r="E10" s="29" t="n">
        <v>140</v>
      </c>
      <c r="F10" s="29" t="n">
        <v>135</v>
      </c>
      <c r="G10" s="29" t="n">
        <v>130</v>
      </c>
      <c r="H10" s="29" t="n">
        <v>125</v>
      </c>
      <c r="I10" s="29"/>
      <c r="J10" s="29"/>
      <c r="K10" s="29"/>
      <c r="L10" s="29"/>
      <c r="M10" s="29"/>
      <c r="N10" s="29"/>
      <c r="O10" s="2"/>
      <c r="P10" s="2"/>
    </row>
    <row r="11" customFormat="false" ht="15" hidden="false" customHeight="false" outlineLevel="0" collapsed="false">
      <c r="A11" s="27" t="s">
        <v>56</v>
      </c>
      <c r="B11" s="28" t="n">
        <v>200</v>
      </c>
      <c r="C11" s="29" t="n">
        <v>185</v>
      </c>
      <c r="D11" s="29" t="n">
        <v>170</v>
      </c>
      <c r="E11" s="29" t="n">
        <v>160</v>
      </c>
      <c r="F11" s="29" t="n">
        <v>155</v>
      </c>
      <c r="G11" s="29" t="n">
        <v>150</v>
      </c>
      <c r="H11" s="29"/>
      <c r="I11" s="29"/>
      <c r="J11" s="29"/>
      <c r="K11" s="29"/>
      <c r="L11" s="29"/>
      <c r="M11" s="29"/>
      <c r="N11" s="29"/>
      <c r="O11" s="2"/>
      <c r="P11" s="2"/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customFormat="false" ht="15" hidden="false" customHeight="false" outlineLevel="0" collapsed="false">
      <c r="A14" s="13" t="s">
        <v>57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customFormat="false" ht="18" hidden="false" customHeight="true" outlineLevel="0" collapsed="false">
      <c r="A15" s="14" t="s">
        <v>10</v>
      </c>
      <c r="B15" s="14" t="s">
        <v>11</v>
      </c>
      <c r="C15" s="14" t="s">
        <v>12</v>
      </c>
      <c r="D15" s="14" t="s">
        <v>13</v>
      </c>
      <c r="E15" s="14" t="s">
        <v>14</v>
      </c>
      <c r="F15" s="14" t="s">
        <v>15</v>
      </c>
      <c r="G15" s="14" t="s">
        <v>16</v>
      </c>
      <c r="H15" s="14" t="s">
        <v>45</v>
      </c>
      <c r="I15" s="14" t="s">
        <v>46</v>
      </c>
      <c r="J15" s="14" t="s">
        <v>47</v>
      </c>
      <c r="K15" s="14" t="s">
        <v>48</v>
      </c>
      <c r="L15" s="14" t="s">
        <v>49</v>
      </c>
      <c r="M15" s="14" t="s">
        <v>50</v>
      </c>
      <c r="N15" s="2"/>
      <c r="O15" s="2"/>
      <c r="P15" s="2"/>
    </row>
    <row r="16" customFormat="false" ht="15" hidden="false" customHeight="false" outlineLevel="0" collapsed="false">
      <c r="A16" s="27" t="s">
        <v>51</v>
      </c>
      <c r="B16" s="30" t="n">
        <f aca="false">IF(C6="","",IFERROR(C6/$B$6,0))</f>
        <v>0.85</v>
      </c>
      <c r="C16" s="30" t="n">
        <f aca="false">IF(D6="","",IFERROR(D6/$B$6,0))</f>
        <v>0.75</v>
      </c>
      <c r="D16" s="30" t="n">
        <f aca="false">IF(E6="","",IFERROR(E6/$B$6,0))</f>
        <v>0.7</v>
      </c>
      <c r="E16" s="30" t="n">
        <f aca="false">IF(F6="","",IFERROR(F6/$B$6,0))</f>
        <v>0.65</v>
      </c>
      <c r="F16" s="30" t="n">
        <f aca="false">IF(G6="","",IFERROR(G6/$B$6,0))</f>
        <v>0.6</v>
      </c>
      <c r="G16" s="30" t="n">
        <f aca="false">IF(H6="","",IFERROR(H6/$B$6,0))</f>
        <v>0.58</v>
      </c>
      <c r="H16" s="30" t="n">
        <f aca="false">IF(I6="","",IFERROR(I6/$B$6,0))</f>
        <v>0.55</v>
      </c>
      <c r="I16" s="30" t="n">
        <f aca="false">IF(J6="","",IFERROR(J6/$B$6,0))</f>
        <v>0.5</v>
      </c>
      <c r="J16" s="30" t="n">
        <f aca="false">IF(K6="","",IFERROR(K6/$B$6,0))</f>
        <v>0.48</v>
      </c>
      <c r="K16" s="30" t="n">
        <f aca="false">IF(L6="","",IFERROR(L6/$B$6,0))</f>
        <v>0.45</v>
      </c>
      <c r="L16" s="30" t="n">
        <f aca="false">IF(M6="","",IFERROR(M6/$B$6,0))</f>
        <v>0.45</v>
      </c>
      <c r="M16" s="30" t="n">
        <f aca="false">IF(N6="","",IFERROR(N6/$B$6,0))</f>
        <v>0.42</v>
      </c>
      <c r="N16" s="2"/>
      <c r="O16" s="2"/>
      <c r="P16" s="2"/>
    </row>
    <row r="17" customFormat="false" ht="15" hidden="false" customHeight="false" outlineLevel="0" collapsed="false">
      <c r="A17" s="27" t="s">
        <v>52</v>
      </c>
      <c r="B17" s="30" t="n">
        <f aca="false">IF(C7="","",IFERROR(C7/$B$7,0))</f>
        <v>0.875</v>
      </c>
      <c r="C17" s="30" t="n">
        <f aca="false">IF(D7="","",IFERROR(D7/$B$7,0))</f>
        <v>0.791666666666667</v>
      </c>
      <c r="D17" s="30" t="n">
        <f aca="false">IF(E7="","",IFERROR(E7/$B$7,0))</f>
        <v>0.733333333333333</v>
      </c>
      <c r="E17" s="30" t="n">
        <f aca="false">IF(F7="","",IFERROR(F7/$B$7,0))</f>
        <v>0.708333333333333</v>
      </c>
      <c r="F17" s="30" t="n">
        <f aca="false">IF(G7="","",IFERROR(G7/$B$7,0))</f>
        <v>0.666666666666667</v>
      </c>
      <c r="G17" s="30" t="n">
        <f aca="false">IF(H7="","",IFERROR(H7/$B$7,0))</f>
        <v>0.65</v>
      </c>
      <c r="H17" s="30" t="n">
        <f aca="false">IF(I7="","",IFERROR(I7/$B$7,0))</f>
        <v>0.625</v>
      </c>
      <c r="I17" s="30" t="n">
        <f aca="false">IF(J7="","",IFERROR(J7/$B$7,0))</f>
        <v>0.583333333333333</v>
      </c>
      <c r="J17" s="30" t="n">
        <f aca="false">IF(K7="","",IFERROR(K7/$B$7,0))</f>
        <v>0.566666666666667</v>
      </c>
      <c r="K17" s="30" t="n">
        <f aca="false">IF(L7="","",IFERROR(L7/$B$7,0))</f>
        <v>0.541666666666667</v>
      </c>
      <c r="L17" s="30" t="str">
        <f aca="false">IF(M7="","",IFERROR(M7/$B$7,0))</f>
        <v/>
      </c>
      <c r="M17" s="30" t="str">
        <f aca="false">IF(N7="","",IFERROR(N7/$B$7,0))</f>
        <v/>
      </c>
      <c r="N17" s="2"/>
      <c r="O17" s="2"/>
      <c r="P17" s="2"/>
    </row>
    <row r="18" customFormat="false" ht="15" hidden="false" customHeight="false" outlineLevel="0" collapsed="false">
      <c r="A18" s="27" t="s">
        <v>53</v>
      </c>
      <c r="B18" s="30" t="n">
        <f aca="false">IF(C8="","",IFERROR(C8/$B$8,0))</f>
        <v>0.9</v>
      </c>
      <c r="C18" s="30" t="n">
        <f aca="false">IF(D8="","",IFERROR(D8/$B$8,0))</f>
        <v>0.8</v>
      </c>
      <c r="D18" s="30" t="n">
        <f aca="false">IF(E8="","",IFERROR(E8/$B$8,0))</f>
        <v>0.766666666666667</v>
      </c>
      <c r="E18" s="30" t="n">
        <f aca="false">IF(F8="","",IFERROR(F8/$B$8,0))</f>
        <v>0.733333333333333</v>
      </c>
      <c r="F18" s="30" t="n">
        <f aca="false">IF(G8="","",IFERROR(G8/$B$8,0))</f>
        <v>0.7</v>
      </c>
      <c r="G18" s="30" t="n">
        <f aca="false">IF(H8="","",IFERROR(H8/$B$8,0))</f>
        <v>0.666666666666667</v>
      </c>
      <c r="H18" s="30" t="n">
        <f aca="false">IF(I8="","",IFERROR(I8/$B$8,0))</f>
        <v>0.633333333333333</v>
      </c>
      <c r="I18" s="30" t="n">
        <f aca="false">IF(J8="","",IFERROR(J8/$B$8,0))</f>
        <v>0.6</v>
      </c>
      <c r="J18" s="30" t="str">
        <f aca="false">IF(K8="","",IFERROR(K8/$B$8,0))</f>
        <v/>
      </c>
      <c r="K18" s="30" t="str">
        <f aca="false">IF(L8="","",IFERROR(L8/$B$8,0))</f>
        <v/>
      </c>
      <c r="L18" s="30" t="str">
        <f aca="false">IF(M8="","",IFERROR(M8/$B$8,0))</f>
        <v/>
      </c>
      <c r="M18" s="30" t="str">
        <f aca="false">IF(N8="","",IFERROR(N8/$B$8,0))</f>
        <v/>
      </c>
      <c r="N18" s="2"/>
      <c r="O18" s="2"/>
      <c r="P18" s="2"/>
    </row>
    <row r="19" customFormat="false" ht="15" hidden="false" customHeight="false" outlineLevel="0" collapsed="false">
      <c r="A19" s="27" t="s">
        <v>54</v>
      </c>
      <c r="B19" s="30" t="n">
        <f aca="false">IF(C9="","",IFERROR(C9/$B$9,0))</f>
        <v>0.909090909090909</v>
      </c>
      <c r="C19" s="30" t="n">
        <f aca="false">IF(D9="","",IFERROR(D9/$B$9,0))</f>
        <v>0.818181818181818</v>
      </c>
      <c r="D19" s="30" t="n">
        <f aca="false">IF(E9="","",IFERROR(E9/$B$9,0))</f>
        <v>0.772727272727273</v>
      </c>
      <c r="E19" s="30" t="n">
        <f aca="false">IF(F9="","",IFERROR(F9/$B$9,0))</f>
        <v>0.727272727272727</v>
      </c>
      <c r="F19" s="30" t="n">
        <f aca="false">IF(G9="","",IFERROR(G9/$B$9,0))</f>
        <v>0.681818181818182</v>
      </c>
      <c r="G19" s="30" t="n">
        <f aca="false">IF(H9="","",IFERROR(H9/$B$9,0))</f>
        <v>0.636363636363636</v>
      </c>
      <c r="H19" s="30" t="n">
        <f aca="false">IF(I9="","",IFERROR(I9/$B$9,0))</f>
        <v>0.590909090909091</v>
      </c>
      <c r="I19" s="30" t="str">
        <f aca="false">IF(J9="","",IFERROR(J9/$B$9,0))</f>
        <v/>
      </c>
      <c r="J19" s="30" t="str">
        <f aca="false">IF(K9="","",IFERROR(K9/$B$9,0))</f>
        <v/>
      </c>
      <c r="K19" s="30" t="str">
        <f aca="false">IF(L9="","",IFERROR(L9/$B$9,0))</f>
        <v/>
      </c>
      <c r="L19" s="30" t="str">
        <f aca="false">IF(M9="","",IFERROR(M9/$B$9,0))</f>
        <v/>
      </c>
      <c r="M19" s="30" t="str">
        <f aca="false">IF(N9="","",IFERROR(N9/$B$9,0))</f>
        <v/>
      </c>
      <c r="N19" s="2"/>
      <c r="O19" s="2"/>
      <c r="P19" s="2"/>
    </row>
    <row r="20" customFormat="false" ht="15" hidden="false" customHeight="false" outlineLevel="0" collapsed="false">
      <c r="A20" s="27" t="s">
        <v>55</v>
      </c>
      <c r="B20" s="30" t="n">
        <f aca="false">IF(C10="","",IFERROR(C10/$B$10,0))</f>
        <v>0.888888888888889</v>
      </c>
      <c r="C20" s="30" t="n">
        <f aca="false">IF(D10="","",IFERROR(D10/$B$10,0))</f>
        <v>0.833333333333333</v>
      </c>
      <c r="D20" s="30" t="n">
        <f aca="false">IF(E10="","",IFERROR(E10/$B$10,0))</f>
        <v>0.777777777777778</v>
      </c>
      <c r="E20" s="30" t="n">
        <f aca="false">IF(F10="","",IFERROR(F10/$B$10,0))</f>
        <v>0.75</v>
      </c>
      <c r="F20" s="30" t="n">
        <f aca="false">IF(G10="","",IFERROR(G10/$B$10,0))</f>
        <v>0.722222222222222</v>
      </c>
      <c r="G20" s="30" t="n">
        <f aca="false">IF(H10="","",IFERROR(H10/$B$10,0))</f>
        <v>0.694444444444444</v>
      </c>
      <c r="H20" s="30" t="str">
        <f aca="false">IF(I10="","",IFERROR(I10/$B$10,0))</f>
        <v/>
      </c>
      <c r="I20" s="30" t="str">
        <f aca="false">IF(J10="","",IFERROR(J10/$B$10,0))</f>
        <v/>
      </c>
      <c r="J20" s="30" t="str">
        <f aca="false">IF(K10="","",IFERROR(K10/$B$10,0))</f>
        <v/>
      </c>
      <c r="K20" s="30" t="str">
        <f aca="false">IF(L10="","",IFERROR(L10/$B$10,0))</f>
        <v/>
      </c>
      <c r="L20" s="30" t="str">
        <f aca="false">IF(M10="","",IFERROR(M10/$B$10,0))</f>
        <v/>
      </c>
      <c r="M20" s="30" t="str">
        <f aca="false">IF(N10="","",IFERROR(N10/$B$10,0))</f>
        <v/>
      </c>
      <c r="N20" s="2"/>
      <c r="O20" s="2"/>
      <c r="P20" s="2"/>
    </row>
    <row r="21" customFormat="false" ht="15" hidden="false" customHeight="false" outlineLevel="0" collapsed="false">
      <c r="A21" s="27" t="s">
        <v>56</v>
      </c>
      <c r="B21" s="30" t="n">
        <f aca="false">IF(C11="","",IFERROR(C11/$B$11,0))</f>
        <v>0.925</v>
      </c>
      <c r="C21" s="30" t="n">
        <f aca="false">IF(D11="","",IFERROR(D11/$B$11,0))</f>
        <v>0.85</v>
      </c>
      <c r="D21" s="30" t="n">
        <f aca="false">IF(E11="","",IFERROR(E11/$B$11,0))</f>
        <v>0.8</v>
      </c>
      <c r="E21" s="30" t="n">
        <f aca="false">IF(F11="","",IFERROR(F11/$B$11,0))</f>
        <v>0.775</v>
      </c>
      <c r="F21" s="30" t="n">
        <f aca="false">IF(G11="","",IFERROR(G11/$B$11,0))</f>
        <v>0.75</v>
      </c>
      <c r="G21" s="30" t="str">
        <f aca="false">IF(H11="","",IFERROR(H11/$B$11,0))</f>
        <v/>
      </c>
      <c r="H21" s="30" t="str">
        <f aca="false">IF(I11="","",IFERROR(I11/$B$11,0))</f>
        <v/>
      </c>
      <c r="I21" s="30" t="str">
        <f aca="false">IF(J11="","",IFERROR(J11/$B$11,0))</f>
        <v/>
      </c>
      <c r="J21" s="30" t="str">
        <f aca="false">IF(K11="","",IFERROR(K11/$B$11,0))</f>
        <v/>
      </c>
      <c r="K21" s="30" t="str">
        <f aca="false">IF(L11="","",IFERROR(L11/$B$11,0))</f>
        <v/>
      </c>
      <c r="L21" s="30" t="str">
        <f aca="false">IF(M11="","",IFERROR(M11/$B$11,0))</f>
        <v/>
      </c>
      <c r="M21" s="30" t="str">
        <f aca="false">IF(N11="","",IFERROR(N11/$B$11,0))</f>
        <v/>
      </c>
      <c r="N21" s="2"/>
      <c r="O21" s="2"/>
      <c r="P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customFormat="false" ht="15" hidden="false" customHeight="fals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customFormat="false" ht="1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customFormat="false" ht="1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customFormat="false" ht="1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customFormat="false" ht="1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</sheetData>
  <mergeCells count="3">
    <mergeCell ref="A1:N1"/>
    <mergeCell ref="A2:N2"/>
    <mergeCell ref="A3:N3"/>
  </mergeCells>
  <conditionalFormatting sqref="B16:M21">
    <cfRule type="colorScale" priority="2">
      <colorScale>
        <cfvo type="num" val="0"/>
        <cfvo type="num" val="0.5"/>
        <cfvo type="num" val="1"/>
        <color rgb="FFD9534F"/>
        <color rgb="FFE0A94B"/>
        <color rgb="FF2E9E5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2026-07-22T20:17:04Z</dcterms:created>
  <dc:creator>openpyxl</dc:creator>
  <dc:description/>
  <dc:language>en-US</dc:language>
  <cp:lastModifiedBy/>
  <dcterms:modified xsi:type="dcterms:W3CDTF">2026-07-22T20:17:04Z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