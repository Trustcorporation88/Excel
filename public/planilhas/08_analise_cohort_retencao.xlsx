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ifl\AppData\Local\Temp\opencode\excel-site\public\planilhas\"/>
    </mc:Choice>
  </mc:AlternateContent>
  <xr:revisionPtr revIDLastSave="0" documentId="13_ncr:1_{043B82CA-36E7-411E-809C-3768BB4AE34F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DASHBOARD" sheetId="1" r:id="rId1"/>
    <sheet name="SAFRAS" sheetId="2" r:id="rId2"/>
  </sheets>
  <definedNames>
    <definedName name="_xlnm.Print_Area" localSheetId="0">DASHBOARD!$A$1:$L$32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1" i="2" l="1"/>
  <c r="L21" i="2"/>
  <c r="K21" i="2"/>
  <c r="J21" i="2"/>
  <c r="I21" i="2"/>
  <c r="H21" i="2"/>
  <c r="G21" i="2"/>
  <c r="F21" i="2"/>
  <c r="E21" i="2"/>
  <c r="F18" i="1" s="1"/>
  <c r="D21" i="2"/>
  <c r="E18" i="1" s="1"/>
  <c r="C21" i="2"/>
  <c r="D18" i="1" s="1"/>
  <c r="B21" i="2"/>
  <c r="C18" i="1" s="1"/>
  <c r="M20" i="2"/>
  <c r="L20" i="2"/>
  <c r="K20" i="2"/>
  <c r="J20" i="2"/>
  <c r="I20" i="2"/>
  <c r="H20" i="2"/>
  <c r="G20" i="2"/>
  <c r="H17" i="1" s="1"/>
  <c r="F20" i="2"/>
  <c r="G17" i="1" s="1"/>
  <c r="E20" i="2"/>
  <c r="F17" i="1" s="1"/>
  <c r="D20" i="2"/>
  <c r="E17" i="1" s="1"/>
  <c r="C20" i="2"/>
  <c r="B20" i="2"/>
  <c r="M19" i="2"/>
  <c r="L19" i="2"/>
  <c r="K19" i="2"/>
  <c r="J19" i="2"/>
  <c r="I19" i="2"/>
  <c r="H19" i="2"/>
  <c r="G19" i="2"/>
  <c r="G29" i="1" s="1"/>
  <c r="F19" i="2"/>
  <c r="G16" i="1" s="1"/>
  <c r="E19" i="2"/>
  <c r="F16" i="1" s="1"/>
  <c r="D19" i="2"/>
  <c r="E16" i="1" s="1"/>
  <c r="C19" i="2"/>
  <c r="D16" i="1" s="1"/>
  <c r="B19" i="2"/>
  <c r="C16" i="1" s="1"/>
  <c r="M18" i="2"/>
  <c r="L18" i="2"/>
  <c r="K18" i="2"/>
  <c r="J18" i="2"/>
  <c r="I18" i="2"/>
  <c r="H18" i="2"/>
  <c r="G18" i="2"/>
  <c r="F29" i="1" s="1"/>
  <c r="F18" i="2"/>
  <c r="G15" i="1" s="1"/>
  <c r="E18" i="2"/>
  <c r="D18" i="2"/>
  <c r="C18" i="2"/>
  <c r="B18" i="2"/>
  <c r="M17" i="2"/>
  <c r="L17" i="2"/>
  <c r="K17" i="2"/>
  <c r="J17" i="2"/>
  <c r="I17" i="2"/>
  <c r="H17" i="2"/>
  <c r="G17" i="2"/>
  <c r="H14" i="1" s="1"/>
  <c r="F17" i="2"/>
  <c r="G14" i="1" s="1"/>
  <c r="E17" i="2"/>
  <c r="F14" i="1" s="1"/>
  <c r="D17" i="2"/>
  <c r="E14" i="1" s="1"/>
  <c r="C17" i="2"/>
  <c r="D14" i="1" s="1"/>
  <c r="B17" i="2"/>
  <c r="Z42" i="1" s="1"/>
  <c r="H6" i="1" s="1"/>
  <c r="M16" i="2"/>
  <c r="L16" i="2"/>
  <c r="K16" i="2"/>
  <c r="J16" i="2"/>
  <c r="I16" i="2"/>
  <c r="H16" i="2"/>
  <c r="G16" i="2"/>
  <c r="F16" i="2"/>
  <c r="E16" i="2"/>
  <c r="D16" i="2"/>
  <c r="C16" i="2"/>
  <c r="B16" i="2"/>
  <c r="D29" i="1"/>
  <c r="F28" i="1"/>
  <c r="D28" i="1"/>
  <c r="F27" i="1"/>
  <c r="D27" i="1"/>
  <c r="H18" i="1"/>
  <c r="G18" i="1"/>
  <c r="B18" i="1"/>
  <c r="D17" i="1"/>
  <c r="C17" i="1"/>
  <c r="B17" i="1"/>
  <c r="H16" i="1"/>
  <c r="B16" i="1"/>
  <c r="F15" i="1"/>
  <c r="E15" i="1"/>
  <c r="D15" i="1"/>
  <c r="C15" i="1"/>
  <c r="B15" i="1"/>
  <c r="B14" i="1"/>
  <c r="O13" i="1"/>
  <c r="N13" i="1"/>
  <c r="M13" i="1"/>
  <c r="L13" i="1"/>
  <c r="H13" i="1"/>
  <c r="G13" i="1"/>
  <c r="F13" i="1"/>
  <c r="E13" i="1"/>
  <c r="D13" i="1"/>
  <c r="C13" i="1"/>
  <c r="B13" i="1"/>
  <c r="E27" i="1" l="1"/>
  <c r="G27" i="1"/>
  <c r="I30" i="1"/>
  <c r="I29" i="1"/>
  <c r="I31" i="1"/>
  <c r="Z40" i="1"/>
  <c r="H15" i="1"/>
  <c r="C28" i="1"/>
  <c r="Z43" i="1"/>
  <c r="J6" i="1" s="1"/>
  <c r="G28" i="1"/>
  <c r="C14" i="1"/>
  <c r="Z41" i="1"/>
  <c r="E28" i="1"/>
  <c r="I28" i="1"/>
  <c r="Z53" i="1"/>
  <c r="O16" i="1" s="1"/>
  <c r="Z54" i="1"/>
  <c r="O17" i="1" s="1"/>
  <c r="E29" i="1"/>
  <c r="N17" i="1" l="1"/>
  <c r="M17" i="1"/>
  <c r="L17" i="1"/>
  <c r="M16" i="1"/>
  <c r="L16" i="1"/>
  <c r="D6" i="1"/>
  <c r="C29" i="1"/>
  <c r="I32" i="1"/>
  <c r="Z52" i="1"/>
  <c r="O15" i="1" s="1"/>
  <c r="Z51" i="1"/>
  <c r="O14" i="1" s="1"/>
  <c r="I27" i="1"/>
  <c r="B9" i="1"/>
  <c r="B6" i="1"/>
  <c r="Z44" i="1"/>
  <c r="F6" i="1" s="1"/>
  <c r="C27" i="1"/>
  <c r="K14" i="1" l="1"/>
  <c r="M14" i="1"/>
  <c r="L14" i="1"/>
  <c r="N14" i="1"/>
  <c r="N15" i="1" s="1"/>
  <c r="J32" i="1"/>
  <c r="J27" i="1"/>
  <c r="J30" i="1"/>
  <c r="J29" i="1"/>
  <c r="L15" i="1"/>
  <c r="M15" i="1"/>
  <c r="K15" i="1"/>
  <c r="J28" i="1"/>
  <c r="J31" i="1"/>
  <c r="N16" i="1" l="1"/>
  <c r="K16" i="1"/>
</calcChain>
</file>

<file path=xl/sharedStrings.xml><?xml version="1.0" encoding="utf-8"?>
<sst xmlns="http://schemas.openxmlformats.org/spreadsheetml/2006/main" count="91" uniqueCount="58">
  <si>
    <t>TRUST EXCEL  ·  TRUST CORPORATION</t>
  </si>
  <si>
    <t>Trust Cohort</t>
  </si>
  <si>
    <t>Matriz de safras · retenção · saúde do produto</t>
  </si>
  <si>
    <t>RETENÇÃO M1 (MÉDIA)</t>
  </si>
  <si>
    <t>RETENÇÃO M6 (MÉDIA)</t>
  </si>
  <si>
    <t>QUEDA INICIAL (M0→M1)</t>
  </si>
  <si>
    <t>MELHOR SAFRA (M1)</t>
  </si>
  <si>
    <t>RECORDE RETENÇÃO M1</t>
  </si>
  <si>
    <t>HEAT MAP DE RETENÇÃO (Até M6)</t>
  </si>
  <si>
    <t>CASCATA DE EVASÃO MÉDIA</t>
  </si>
  <si>
    <t>Safra</t>
  </si>
  <si>
    <t>M1</t>
  </si>
  <si>
    <t>M2</t>
  </si>
  <si>
    <t>M3</t>
  </si>
  <si>
    <t>M4</t>
  </si>
  <si>
    <t>M5</t>
  </si>
  <si>
    <t>M6</t>
  </si>
  <si>
    <t>Etapa</t>
  </si>
  <si>
    <t>Base</t>
  </si>
  <si>
    <t>Alta</t>
  </si>
  <si>
    <t>Baixa</t>
  </si>
  <si>
    <t>Total</t>
  </si>
  <si>
    <t>Δ</t>
  </si>
  <si>
    <t>Base (M0)</t>
  </si>
  <si>
    <t>Evasão M1</t>
  </si>
  <si>
    <t>Evasão M2</t>
  </si>
  <si>
    <t>Evasão M3</t>
  </si>
  <si>
    <t>Retidos M3</t>
  </si>
  <si>
    <t>MINI-SPARKLINES</t>
  </si>
  <si>
    <t>SPARK DE DECAIMENTO</t>
  </si>
  <si>
    <t>Indicador</t>
  </si>
  <si>
    <t>Atual</t>
  </si>
  <si>
    <t>S1</t>
  </si>
  <si>
    <t>S2</t>
  </si>
  <si>
    <t>S3</t>
  </si>
  <si>
    <t>S4</t>
  </si>
  <si>
    <t>Ponto</t>
  </si>
  <si>
    <t>Valor</t>
  </si>
  <si>
    <t>Spark</t>
  </si>
  <si>
    <t>M1 %</t>
  </si>
  <si>
    <t>M3 %</t>
  </si>
  <si>
    <t>M6 %</t>
  </si>
  <si>
    <t>Análise de Cohort</t>
  </si>
  <si>
    <t>Preencha a quantidade de clientes retidos em cada mês de vida</t>
  </si>
  <si>
    <t>M0 (Inic.)</t>
  </si>
  <si>
    <t>M7</t>
  </si>
  <si>
    <t>M8</t>
  </si>
  <si>
    <t>M9</t>
  </si>
  <si>
    <t>M10</t>
  </si>
  <si>
    <t>M11</t>
  </si>
  <si>
    <t>M12</t>
  </si>
  <si>
    <t>Jan</t>
  </si>
  <si>
    <t>Fev</t>
  </si>
  <si>
    <t>Mar</t>
  </si>
  <si>
    <t>Abr</t>
  </si>
  <si>
    <t>Mai</t>
  </si>
  <si>
    <t>Jun</t>
  </si>
  <si>
    <t>MATRIZ DE RETENÇÃO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</si>
</sst>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;\—"/>
    <numFmt numFmtId="166" formatCode="#,##0.0;\(#,##0.0\);\—"/>
  </numFmts>
  <fonts count="20" x14ac:knownFonts="1">
    <font>
      <sz val="11"/>
      <color theme="1"/>
      <name val="Calibri"/>
      <family val="2"/>
      <charset val="1"/>
    </font>
    <font>
      <b/>
      <sz val="8"/>
      <color rgb="FFC99C66"/>
      <name val="Calibri"/>
      <charset val="1"/>
    </font>
    <font>
      <b/>
      <sz val="22"/>
      <color rgb="FFF3ECDD"/>
      <name val="Calibri"/>
      <charset val="1"/>
    </font>
    <font>
      <i/>
      <sz val="9"/>
      <color rgb="FF8A9691"/>
      <name val="Calibri"/>
      <charset val="1"/>
    </font>
    <font>
      <b/>
      <sz val="7"/>
      <color rgb="FF8A9691"/>
      <name val="Calibri"/>
      <charset val="1"/>
    </font>
    <font>
      <b/>
      <sz val="18"/>
      <color rgb="FFC99C66"/>
      <name val="Calibri"/>
      <charset val="1"/>
    </font>
    <font>
      <b/>
      <sz val="18"/>
      <color rgb="FFE0A94B"/>
      <name val="Calibri"/>
      <charset val="1"/>
    </font>
    <font>
      <b/>
      <sz val="18"/>
      <color rgb="FFD9534F"/>
      <name val="Calibri"/>
      <charset val="1"/>
    </font>
    <font>
      <b/>
      <sz val="18"/>
      <color rgb="FF43D07F"/>
      <name val="Calibri"/>
      <charset val="1"/>
    </font>
    <font>
      <i/>
      <sz val="7"/>
      <color rgb="FF8A9691"/>
      <name val="Calibri"/>
      <charset val="1"/>
    </font>
    <font>
      <b/>
      <sz val="10"/>
      <color rgb="FFF3ECDD"/>
      <name val="Calibri"/>
      <charset val="1"/>
    </font>
    <font>
      <b/>
      <sz val="9"/>
      <color rgb="FFC99C66"/>
      <name val="Calibri"/>
      <charset val="1"/>
    </font>
    <font>
      <b/>
      <sz val="8"/>
      <color rgb="FFF3ECDD"/>
      <name val="Calibri"/>
      <charset val="1"/>
    </font>
    <font>
      <sz val="8"/>
      <color rgb="FF0B1210"/>
      <name val="Calibri"/>
      <charset val="1"/>
    </font>
    <font>
      <sz val="8"/>
      <color rgb="FFF3ECDD"/>
      <name val="Calibri"/>
      <charset val="1"/>
    </font>
    <font>
      <sz val="8"/>
      <color rgb="FF8A9691"/>
      <name val="Calibri"/>
      <charset val="1"/>
    </font>
    <font>
      <sz val="7"/>
      <color rgb="FF8A9691"/>
      <name val="Calibri"/>
      <charset val="1"/>
    </font>
    <font>
      <sz val="8"/>
      <color rgb="FFC99C66"/>
      <name val="Calibri"/>
      <charset val="1"/>
    </font>
    <font>
      <sz val="7"/>
      <color rgb="FF43D07F"/>
      <name val="Calibri"/>
      <charset val="1"/>
    </font>
    <font>
      <sz val="9"/>
      <color rgb="FFF3ECDD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0B1210"/>
        <bgColor rgb="FF0E1713"/>
      </patternFill>
    </fill>
    <fill>
      <patternFill patternType="solid">
        <fgColor rgb="FF182620"/>
        <bgColor rgb="FF121C18"/>
      </patternFill>
    </fill>
    <fill>
      <patternFill patternType="solid">
        <fgColor rgb="FF1E3028"/>
        <bgColor rgb="FF182620"/>
      </patternFill>
    </fill>
    <fill>
      <patternFill patternType="solid">
        <fgColor rgb="FF121C18"/>
        <bgColor rgb="FF0E1713"/>
      </patternFill>
    </fill>
  </fills>
  <borders count="3">
    <border>
      <left/>
      <right/>
      <top/>
      <bottom/>
      <diagonal/>
    </border>
    <border>
      <left style="thin">
        <color rgb="FF2A3D34"/>
      </left>
      <right style="thin">
        <color rgb="FF2A3D34"/>
      </right>
      <top style="thin">
        <color rgb="FFC99C66"/>
      </top>
      <bottom style="thin">
        <color rgb="FF2A3D34"/>
      </bottom>
      <diagonal/>
    </border>
    <border>
      <left style="thin">
        <color rgb="FF2A3D34"/>
      </left>
      <right style="thin">
        <color rgb="FF2A3D34"/>
      </right>
      <top style="thin">
        <color rgb="FF2A3D34"/>
      </top>
      <bottom style="thin">
        <color rgb="FF2A3D3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0" fillId="3" borderId="2" xfId="0" applyFont="1" applyFill="1" applyBorder="1" applyAlignment="1">
      <alignment horizontal="left" vertical="center" indent="1"/>
    </xf>
    <xf numFmtId="0" fontId="9" fillId="3" borderId="2" xfId="0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11" fillId="2" borderId="0" xfId="0" applyFont="1" applyFill="1" applyAlignment="1">
      <alignment horizontal="left" vertical="center"/>
    </xf>
    <xf numFmtId="0" fontId="12" fillId="5" borderId="2" xfId="0" applyFont="1" applyFill="1" applyBorder="1" applyAlignment="1">
      <alignment horizontal="center" vertical="center" wrapText="1"/>
    </xf>
    <xf numFmtId="0" fontId="13" fillId="2" borderId="2" xfId="0" applyFont="1" applyFill="1" applyBorder="1"/>
    <xf numFmtId="9" fontId="13" fillId="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/>
    <xf numFmtId="165" fontId="15" fillId="2" borderId="2" xfId="0" applyNumberFormat="1" applyFont="1" applyFill="1" applyBorder="1"/>
    <xf numFmtId="165" fontId="1" fillId="0" borderId="2" xfId="0" applyNumberFormat="1" applyFont="1" applyBorder="1"/>
    <xf numFmtId="166" fontId="11" fillId="2" borderId="2" xfId="0" applyNumberFormat="1" applyFont="1" applyFill="1" applyBorder="1"/>
    <xf numFmtId="1" fontId="16" fillId="2" borderId="2" xfId="0" applyNumberFormat="1" applyFont="1" applyFill="1" applyBorder="1"/>
    <xf numFmtId="166" fontId="17" fillId="2" borderId="2" xfId="0" applyNumberFormat="1" applyFont="1" applyFill="1" applyBorder="1"/>
    <xf numFmtId="0" fontId="18" fillId="2" borderId="2" xfId="0" applyFont="1" applyFill="1" applyBorder="1" applyAlignment="1">
      <alignment horizontal="center" vertical="center"/>
    </xf>
    <xf numFmtId="0" fontId="16" fillId="2" borderId="2" xfId="0" applyFont="1" applyFill="1" applyBorder="1"/>
    <xf numFmtId="0" fontId="18" fillId="2" borderId="2" xfId="0" applyFont="1" applyFill="1" applyBorder="1"/>
    <xf numFmtId="10" fontId="0" fillId="0" borderId="0" xfId="0" applyNumberFormat="1"/>
    <xf numFmtId="0" fontId="19" fillId="2" borderId="0" xfId="0" applyFont="1" applyFill="1"/>
    <xf numFmtId="0" fontId="11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9" fontId="19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sz val="8"/>
        <color rgb="FFD9534F"/>
        <name val="Calibri"/>
        <charset val="1"/>
      </font>
    </dxf>
    <dxf>
      <font>
        <b/>
        <sz val="8"/>
        <color rgb="FF43D07F"/>
        <name val="Calibri"/>
        <charset val="1"/>
      </font>
    </dxf>
  </dxfs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210"/>
      <rgbColor rgb="FF808000"/>
      <rgbColor rgb="FF800080"/>
      <rgbColor rgb="FF008080"/>
      <rgbColor rgb="FFC0C0C0"/>
      <rgbColor rgb="FF878787"/>
      <rgbColor rgb="FF9999FF"/>
      <rgbColor rgb="FF993366"/>
      <rgbColor rgb="FFF3ECDD"/>
      <rgbColor rgb="FFCCFFFF"/>
      <rgbColor rgb="FF660066"/>
      <rgbColor rgb="FFC99C66"/>
      <rgbColor rgb="FF0066CC"/>
      <rgbColor rgb="FFD9D9D9"/>
      <rgbColor rgb="FF0E1713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3D07F"/>
      <rgbColor rgb="FF99CC00"/>
      <rgbColor rgb="FFFFCC00"/>
      <rgbColor rgb="FFE0A94B"/>
      <rgbColor rgb="FFD9534F"/>
      <rgbColor rgb="FF666699"/>
      <rgbColor rgb="FF8A9691"/>
      <rgbColor rgb="FF121C18"/>
      <rgbColor rgb="FF2E9E5B"/>
      <rgbColor rgb="FF182620"/>
      <rgbColor rgb="FF1E3028"/>
      <rgbColor rgb="FF993300"/>
      <rgbColor rgb="FF993366"/>
      <rgbColor rgb="FF333399"/>
      <rgbColor rgb="FF2A3D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DejaVu Sans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Cascata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DASHBOARD!$K$12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DejaVu San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DASHBOARD!$J$13:$J$17</c:f>
              <c:strCache>
                <c:ptCount val="5"/>
                <c:pt idx="0">
                  <c:v>Base (M0)</c:v>
                </c:pt>
                <c:pt idx="1">
                  <c:v>Evasão M1</c:v>
                </c:pt>
                <c:pt idx="2">
                  <c:v>Evasão M2</c:v>
                </c:pt>
                <c:pt idx="3">
                  <c:v>Evasão M3</c:v>
                </c:pt>
                <c:pt idx="4">
                  <c:v>Retidos M3</c:v>
                </c:pt>
              </c:strCache>
            </c:strRef>
          </c:cat>
          <c:val>
            <c:numRef>
              <c:f>DASHBOARD!$K$13:$K$17</c:f>
              <c:numCache>
                <c:formatCode>#,##0;\(#,##0\);\—</c:formatCode>
                <c:ptCount val="5"/>
                <c:pt idx="0">
                  <c:v>0</c:v>
                </c:pt>
                <c:pt idx="1">
                  <c:v>0.89132996632996619</c:v>
                </c:pt>
                <c:pt idx="2">
                  <c:v>0.80719696969696975</c:v>
                </c:pt>
                <c:pt idx="3">
                  <c:v>0.75841750841750832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8-4CCF-BFFB-698FA04B662B}"/>
            </c:ext>
          </c:extLst>
        </c:ser>
        <c:ser>
          <c:idx val="1"/>
          <c:order val="1"/>
          <c:tx>
            <c:strRef>
              <c:f>DASHBOARD!$L$12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2E9E5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DejaVu San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DASHBOARD!$J$13:$J$17</c:f>
              <c:strCache>
                <c:ptCount val="5"/>
                <c:pt idx="0">
                  <c:v>Base (M0)</c:v>
                </c:pt>
                <c:pt idx="1">
                  <c:v>Evasão M1</c:v>
                </c:pt>
                <c:pt idx="2">
                  <c:v>Evasão M2</c:v>
                </c:pt>
                <c:pt idx="3">
                  <c:v>Evasão M3</c:v>
                </c:pt>
                <c:pt idx="4">
                  <c:v>Retidos M3</c:v>
                </c:pt>
              </c:strCache>
            </c:strRef>
          </c:cat>
          <c:val>
            <c:numRef>
              <c:f>DASHBOARD!$L$13:$L$17</c:f>
              <c:numCache>
                <c:formatCode>#,##0;\(#,##0\);\—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0.75841750841750832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8-4CCF-BFFB-698FA04B662B}"/>
            </c:ext>
          </c:extLst>
        </c:ser>
        <c:ser>
          <c:idx val="2"/>
          <c:order val="2"/>
          <c:tx>
            <c:strRef>
              <c:f>DASHBOARD!$M$12</c:f>
              <c:strCache>
                <c:ptCount val="1"/>
                <c:pt idx="0">
                  <c:v>Baixa</c:v>
                </c:pt>
              </c:strCache>
            </c:strRef>
          </c:tx>
          <c:spPr>
            <a:solidFill>
              <a:srgbClr val="D953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DejaVu San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DASHBOARD!$J$13:$J$17</c:f>
              <c:strCache>
                <c:ptCount val="5"/>
                <c:pt idx="0">
                  <c:v>Base (M0)</c:v>
                </c:pt>
                <c:pt idx="1">
                  <c:v>Evasão M1</c:v>
                </c:pt>
                <c:pt idx="2">
                  <c:v>Evasão M2</c:v>
                </c:pt>
                <c:pt idx="3">
                  <c:v>Evasão M3</c:v>
                </c:pt>
                <c:pt idx="4">
                  <c:v>Retidos M3</c:v>
                </c:pt>
              </c:strCache>
            </c:strRef>
          </c:cat>
          <c:val>
            <c:numRef>
              <c:f>DASHBOARD!$M$13:$M$17</c:f>
              <c:numCache>
                <c:formatCode>#,##0;\(#,##0\);\—</c:formatCode>
                <c:ptCount val="5"/>
                <c:pt idx="0">
                  <c:v>0</c:v>
                </c:pt>
                <c:pt idx="1">
                  <c:v>0.10867003367003381</c:v>
                </c:pt>
                <c:pt idx="2">
                  <c:v>8.4132996632996448E-2</c:v>
                </c:pt>
                <c:pt idx="3">
                  <c:v>4.8779461279461422E-2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8-4CCF-BFFB-698FA04B6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340230"/>
        <c:axId val="3761608"/>
      </c:barChart>
      <c:catAx>
        <c:axId val="683402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761608"/>
        <c:crosses val="autoZero"/>
        <c:auto val="1"/>
        <c:lblAlgn val="ctr"/>
        <c:lblOffset val="100"/>
        <c:noMultiLvlLbl val="0"/>
      </c:catAx>
      <c:valAx>
        <c:axId val="37616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—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8340230"/>
        <c:crosses val="autoZero"/>
        <c:crossBetween val="between"/>
      </c:valAx>
      <c:spPr>
        <a:solidFill>
          <a:srgbClr val="0E1713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DASHBOARD!$I$26</c:f>
              <c:strCache>
                <c:ptCount val="1"/>
                <c:pt idx="0">
                  <c:v>Valor</c:v>
                </c:pt>
              </c:strCache>
            </c:strRef>
          </c:tx>
          <c:spPr>
            <a:ln w="15120">
              <a:solidFill>
                <a:srgbClr val="C99C6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DejaVu San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51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DASHBOARD!$H$27:$H$32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</c:strCache>
            </c:strRef>
          </c:cat>
          <c:val>
            <c:numRef>
              <c:f>DASHBOARD!$I$27:$I$32</c:f>
              <c:numCache>
                <c:formatCode>#,##0.0;\(#,##0.0\);\—</c:formatCode>
                <c:ptCount val="6"/>
                <c:pt idx="0">
                  <c:v>89.132996632996623</c:v>
                </c:pt>
                <c:pt idx="1">
                  <c:v>80.719696969696969</c:v>
                </c:pt>
                <c:pt idx="2">
                  <c:v>75.841750841750837</c:v>
                </c:pt>
                <c:pt idx="3">
                  <c:v>72.39898989898991</c:v>
                </c:pt>
                <c:pt idx="4">
                  <c:v>68.678451178451184</c:v>
                </c:pt>
                <c:pt idx="5">
                  <c:v>64.549494949494928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E2-42C7-B05A-95B26C82D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796128"/>
        <c:axId val="29822966"/>
      </c:lineChart>
      <c:catAx>
        <c:axId val="8279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29822966"/>
        <c:crosses val="autoZero"/>
        <c:auto val="1"/>
        <c:lblAlgn val="ctr"/>
        <c:lblOffset val="100"/>
        <c:noMultiLvlLbl val="0"/>
      </c:catAx>
      <c:valAx>
        <c:axId val="29822966"/>
        <c:scaling>
          <c:orientation val="minMax"/>
        </c:scaling>
        <c:delete val="0"/>
        <c:axPos val="l"/>
        <c:numFmt formatCode="#,##0.0;\(#,##0.0\);\—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82796128"/>
        <c:crosses val="autoZero"/>
        <c:crossBetween val="between"/>
      </c:valAx>
      <c:spPr>
        <a:solidFill>
          <a:srgbClr val="0E1713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15</xdr:row>
      <xdr:rowOff>0</xdr:rowOff>
    </xdr:from>
    <xdr:to>
      <xdr:col>10</xdr:col>
      <xdr:colOff>735120</xdr:colOff>
      <xdr:row>22</xdr:row>
      <xdr:rowOff>178200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24</xdr:row>
      <xdr:rowOff>0</xdr:rowOff>
    </xdr:from>
    <xdr:to>
      <xdr:col>11</xdr:col>
      <xdr:colOff>735120</xdr:colOff>
      <xdr:row>29</xdr:row>
      <xdr:rowOff>16920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4"/>
  <sheetViews>
    <sheetView showGridLines="0" tabSelected="1" zoomScaleNormal="100" workbookViewId="0">
      <pane ySplit="4" topLeftCell="A5" activePane="bottomLeft" state="frozen"/>
      <selection pane="bottomLeft" sqref="A1:L1"/>
    </sheetView>
  </sheetViews>
  <sheetFormatPr defaultColWidth="8.53125" defaultRowHeight="15" customHeight="1" x14ac:dyDescent="0.45"/>
  <cols>
    <col min="1" max="1" width="2" customWidth="1"/>
    <col min="2" max="12" width="14" customWidth="1"/>
    <col min="26" max="31" width="13" hidden="1" customWidth="1"/>
  </cols>
  <sheetData>
    <row r="1" spans="1:15" ht="13.5" customHeight="1" x14ac:dyDescent="0.4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2"/>
    </row>
    <row r="2" spans="1:15" ht="27.75" customHeight="1" x14ac:dyDescent="0.4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2"/>
      <c r="N2" s="12"/>
    </row>
    <row r="3" spans="1:15" ht="13.5" customHeight="1" x14ac:dyDescent="0.4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2"/>
      <c r="N3" s="12"/>
    </row>
    <row r="4" spans="1:15" ht="14.25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5" ht="12.75" customHeight="1" x14ac:dyDescent="0.45">
      <c r="A5" s="12"/>
      <c r="B5" s="8" t="s">
        <v>3</v>
      </c>
      <c r="C5" s="8"/>
      <c r="D5" s="8" t="s">
        <v>4</v>
      </c>
      <c r="E5" s="8"/>
      <c r="F5" s="8" t="s">
        <v>5</v>
      </c>
      <c r="G5" s="8"/>
      <c r="H5" s="8" t="s">
        <v>6</v>
      </c>
      <c r="I5" s="8"/>
      <c r="J5" s="8" t="s">
        <v>7</v>
      </c>
      <c r="K5" s="8"/>
      <c r="L5" s="12"/>
      <c r="M5" s="12"/>
      <c r="N5" s="12"/>
    </row>
    <row r="6" spans="1:15" ht="27.75" customHeight="1" x14ac:dyDescent="0.45">
      <c r="A6" s="12"/>
      <c r="B6" s="7">
        <f>Z40</f>
        <v>0.89132996632996619</v>
      </c>
      <c r="C6" s="7"/>
      <c r="D6" s="6">
        <f>Z41</f>
        <v>0.64549494949494934</v>
      </c>
      <c r="E6" s="6"/>
      <c r="F6" s="5">
        <f>Z44</f>
        <v>0.10867003367003381</v>
      </c>
      <c r="G6" s="5"/>
      <c r="H6" s="4" t="str">
        <f>Z42</f>
        <v>Jun</v>
      </c>
      <c r="I6" s="4"/>
      <c r="J6" s="3">
        <f>Z43</f>
        <v>0.92500000000000004</v>
      </c>
      <c r="K6" s="3"/>
      <c r="L6" s="12"/>
      <c r="M6" s="12"/>
      <c r="N6" s="12"/>
    </row>
    <row r="7" spans="1:15" ht="12" customHeight="1" x14ac:dyDescent="0.45">
      <c r="A7" s="12"/>
      <c r="B7" s="2"/>
      <c r="C7" s="2"/>
      <c r="D7" s="2"/>
      <c r="E7" s="2"/>
      <c r="F7" s="2"/>
      <c r="G7" s="2"/>
      <c r="H7" s="2"/>
      <c r="I7" s="2"/>
      <c r="J7" s="2"/>
      <c r="K7" s="2"/>
      <c r="L7" s="12"/>
      <c r="M7" s="12"/>
      <c r="N7" s="12"/>
    </row>
    <row r="8" spans="1:15" ht="14.25" x14ac:dyDescent="0.4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5" ht="18" customHeight="1" x14ac:dyDescent="0.45">
      <c r="A9" s="12"/>
      <c r="B9" s="1" t="str">
        <f>IF(Z40&gt;0.8,"🟢 Ótima retenção no 1º mês. Produto tem fit. Escalar aquisição.",IF(Z40&gt;0.6,"🟡 Queda inicial moderada. Melhore onboarding ou perfil de cliente.","🔴 Churn alto. Produto furado (leaky bucket). Congele aquisição e foque no produto."))</f>
        <v>🟢 Ótima retenção no 1º mês. Produto tem fit. Escalar aquisição.</v>
      </c>
      <c r="C9" s="1"/>
      <c r="D9" s="1"/>
      <c r="E9" s="1"/>
      <c r="F9" s="1"/>
      <c r="G9" s="1"/>
      <c r="H9" s="1"/>
      <c r="I9" s="1"/>
      <c r="J9" s="1"/>
      <c r="K9" s="1"/>
      <c r="L9" s="12"/>
      <c r="M9" s="12"/>
      <c r="N9" s="12"/>
    </row>
    <row r="10" spans="1:15" ht="14.25" x14ac:dyDescent="0.4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5" ht="14.25" x14ac:dyDescent="0.45">
      <c r="A11" s="12"/>
      <c r="B11" s="13" t="s">
        <v>8</v>
      </c>
      <c r="C11" s="12"/>
      <c r="D11" s="12"/>
      <c r="E11" s="12"/>
      <c r="F11" s="12"/>
      <c r="G11" s="12"/>
      <c r="H11" s="12"/>
      <c r="I11" s="12"/>
      <c r="J11" s="13" t="s">
        <v>9</v>
      </c>
      <c r="K11" s="12"/>
      <c r="L11" s="12"/>
      <c r="M11" s="12"/>
      <c r="N11" s="12"/>
    </row>
    <row r="12" spans="1:15" ht="18" customHeight="1" x14ac:dyDescent="0.45">
      <c r="A12" s="12"/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14</v>
      </c>
      <c r="G12" s="14" t="s">
        <v>15</v>
      </c>
      <c r="H12" s="14" t="s">
        <v>16</v>
      </c>
      <c r="I12" s="12"/>
      <c r="J12" s="14" t="s">
        <v>17</v>
      </c>
      <c r="K12" s="14" t="s">
        <v>18</v>
      </c>
      <c r="L12" s="14" t="s">
        <v>19</v>
      </c>
      <c r="M12" s="14" t="s">
        <v>20</v>
      </c>
      <c r="N12" s="14" t="s">
        <v>21</v>
      </c>
      <c r="O12" s="14" t="s">
        <v>22</v>
      </c>
    </row>
    <row r="13" spans="1:15" ht="14.25" x14ac:dyDescent="0.45">
      <c r="A13" s="12"/>
      <c r="B13" s="15" t="str">
        <f>SAFRAS!A16</f>
        <v>Jan</v>
      </c>
      <c r="C13" s="16">
        <f>SAFRAS!B16</f>
        <v>0.85</v>
      </c>
      <c r="D13" s="16">
        <f>SAFRAS!C16</f>
        <v>0.75</v>
      </c>
      <c r="E13" s="16">
        <f>SAFRAS!D16</f>
        <v>0.7</v>
      </c>
      <c r="F13" s="16">
        <f>SAFRAS!E16</f>
        <v>0.65</v>
      </c>
      <c r="G13" s="16">
        <f>SAFRAS!F16</f>
        <v>0.6</v>
      </c>
      <c r="H13" s="16">
        <f>SAFRAS!G16</f>
        <v>0.57999999999999996</v>
      </c>
      <c r="I13" s="12"/>
      <c r="J13" s="17" t="s">
        <v>23</v>
      </c>
      <c r="K13" s="18">
        <v>0</v>
      </c>
      <c r="L13" s="18">
        <f>IF(O13&gt;=0,O13,0)</f>
        <v>1</v>
      </c>
      <c r="M13" s="18">
        <f>IF(O13&lt;0,-O13,0)</f>
        <v>0</v>
      </c>
      <c r="N13" s="18">
        <f>O13</f>
        <v>1</v>
      </c>
      <c r="O13" s="19">
        <f>$Z$50</f>
        <v>1</v>
      </c>
    </row>
    <row r="14" spans="1:15" ht="14.25" x14ac:dyDescent="0.45">
      <c r="A14" s="12"/>
      <c r="B14" s="15" t="str">
        <f>SAFRAS!A17</f>
        <v>Fev</v>
      </c>
      <c r="C14" s="16">
        <f>SAFRAS!B17</f>
        <v>0.875</v>
      </c>
      <c r="D14" s="16">
        <f>SAFRAS!C17</f>
        <v>0.79166666666666663</v>
      </c>
      <c r="E14" s="16">
        <f>SAFRAS!D17</f>
        <v>0.73333333333333328</v>
      </c>
      <c r="F14" s="16">
        <f>SAFRAS!E17</f>
        <v>0.70833333333333337</v>
      </c>
      <c r="G14" s="16">
        <f>SAFRAS!F17</f>
        <v>0.66666666666666663</v>
      </c>
      <c r="H14" s="16">
        <f>SAFRAS!G17</f>
        <v>0.65</v>
      </c>
      <c r="I14" s="12"/>
      <c r="J14" s="17" t="s">
        <v>24</v>
      </c>
      <c r="K14" s="18">
        <f>IF(O14&gt;=0,N13,N13+O14)</f>
        <v>0.89132996632996619</v>
      </c>
      <c r="L14" s="18">
        <f>IF(O14&gt;=0,O14,0)</f>
        <v>0</v>
      </c>
      <c r="M14" s="18">
        <f>IF(O14&lt;0,-O14,0)</f>
        <v>0.10867003367003381</v>
      </c>
      <c r="N14" s="18">
        <f>N13+O14</f>
        <v>0.89132996632996619</v>
      </c>
      <c r="O14" s="19">
        <f>$Z$51</f>
        <v>-0.10867003367003381</v>
      </c>
    </row>
    <row r="15" spans="1:15" ht="14.25" x14ac:dyDescent="0.45">
      <c r="A15" s="12"/>
      <c r="B15" s="15" t="str">
        <f>SAFRAS!A18</f>
        <v>Mar</v>
      </c>
      <c r="C15" s="16">
        <f>SAFRAS!B18</f>
        <v>0.9</v>
      </c>
      <c r="D15" s="16">
        <f>SAFRAS!C18</f>
        <v>0.8</v>
      </c>
      <c r="E15" s="16">
        <f>SAFRAS!D18</f>
        <v>0.76666666666666672</v>
      </c>
      <c r="F15" s="16">
        <f>SAFRAS!E18</f>
        <v>0.73333333333333328</v>
      </c>
      <c r="G15" s="16">
        <f>SAFRAS!F18</f>
        <v>0.7</v>
      </c>
      <c r="H15" s="16">
        <f>SAFRAS!G18</f>
        <v>0.66666666666666663</v>
      </c>
      <c r="I15" s="12"/>
      <c r="J15" s="17" t="s">
        <v>25</v>
      </c>
      <c r="K15" s="18">
        <f>IF(O15&gt;=0,N14,N14+O15)</f>
        <v>0.80719696969696975</v>
      </c>
      <c r="L15" s="18">
        <f>IF(O15&gt;=0,O15,0)</f>
        <v>0</v>
      </c>
      <c r="M15" s="18">
        <f>IF(O15&lt;0,-O15,0)</f>
        <v>8.4132996632996448E-2</v>
      </c>
      <c r="N15" s="18">
        <f>N14+O15</f>
        <v>0.80719696969696975</v>
      </c>
      <c r="O15" s="19">
        <f>$Z$52</f>
        <v>-8.4132996632996448E-2</v>
      </c>
    </row>
    <row r="16" spans="1:15" ht="14.25" x14ac:dyDescent="0.45">
      <c r="A16" s="12"/>
      <c r="B16" s="15" t="str">
        <f>SAFRAS!A19</f>
        <v>Abr</v>
      </c>
      <c r="C16" s="16">
        <f>SAFRAS!B19</f>
        <v>0.90909090909090906</v>
      </c>
      <c r="D16" s="16">
        <f>SAFRAS!C19</f>
        <v>0.81818181818181823</v>
      </c>
      <c r="E16" s="16">
        <f>SAFRAS!D19</f>
        <v>0.77272727272727271</v>
      </c>
      <c r="F16" s="16">
        <f>SAFRAS!E19</f>
        <v>0.72727272727272729</v>
      </c>
      <c r="G16" s="16">
        <f>SAFRAS!F19</f>
        <v>0.68181818181818177</v>
      </c>
      <c r="H16" s="16">
        <f>SAFRAS!G19</f>
        <v>0.63636363636363635</v>
      </c>
      <c r="I16" s="12"/>
      <c r="J16" s="17" t="s">
        <v>26</v>
      </c>
      <c r="K16" s="18">
        <f>IF(O16&gt;=0,N15,N15+O16)</f>
        <v>0.75841750841750832</v>
      </c>
      <c r="L16" s="18">
        <f>IF(O16&gt;=0,O16,0)</f>
        <v>0</v>
      </c>
      <c r="M16" s="18">
        <f>IF(O16&lt;0,-O16,0)</f>
        <v>4.8779461279461422E-2</v>
      </c>
      <c r="N16" s="18">
        <f>N15+O16</f>
        <v>0.75841750841750832</v>
      </c>
      <c r="O16" s="19">
        <f>$Z$53</f>
        <v>-4.8779461279461422E-2</v>
      </c>
    </row>
    <row r="17" spans="1:15" ht="14.25" x14ac:dyDescent="0.45">
      <c r="A17" s="12"/>
      <c r="B17" s="15" t="str">
        <f>SAFRAS!A20</f>
        <v>Mai</v>
      </c>
      <c r="C17" s="16">
        <f>SAFRAS!B20</f>
        <v>0.88888888888888884</v>
      </c>
      <c r="D17" s="16">
        <f>SAFRAS!C20</f>
        <v>0.83333333333333337</v>
      </c>
      <c r="E17" s="16">
        <f>SAFRAS!D20</f>
        <v>0.77777777777777779</v>
      </c>
      <c r="F17" s="16">
        <f>SAFRAS!E20</f>
        <v>0.75</v>
      </c>
      <c r="G17" s="16">
        <f>SAFRAS!F20</f>
        <v>0.72222222222222221</v>
      </c>
      <c r="H17" s="16">
        <f>SAFRAS!G20</f>
        <v>0.69444444444444442</v>
      </c>
      <c r="I17" s="12"/>
      <c r="J17" s="17" t="s">
        <v>27</v>
      </c>
      <c r="K17" s="18">
        <v>0</v>
      </c>
      <c r="L17" s="18">
        <f>IF(O17&gt;=0,O17,0)</f>
        <v>0.75841750841750832</v>
      </c>
      <c r="M17" s="18">
        <f>IF(O17&lt;0,-O17,0)</f>
        <v>0</v>
      </c>
      <c r="N17" s="18">
        <f>O17</f>
        <v>0.75841750841750832</v>
      </c>
      <c r="O17" s="19">
        <f>$Z$54</f>
        <v>0.75841750841750832</v>
      </c>
    </row>
    <row r="18" spans="1:15" ht="14.25" x14ac:dyDescent="0.45">
      <c r="A18" s="12"/>
      <c r="B18" s="15" t="str">
        <f>SAFRAS!A21</f>
        <v>Jun</v>
      </c>
      <c r="C18" s="16">
        <f>SAFRAS!B21</f>
        <v>0.92500000000000004</v>
      </c>
      <c r="D18" s="16">
        <f>SAFRAS!C21</f>
        <v>0.85</v>
      </c>
      <c r="E18" s="16">
        <f>SAFRAS!D21</f>
        <v>0.8</v>
      </c>
      <c r="F18" s="16">
        <f>SAFRAS!E21</f>
        <v>0.77500000000000002</v>
      </c>
      <c r="G18" s="16">
        <f>SAFRAS!F21</f>
        <v>0.75</v>
      </c>
      <c r="H18" s="16" t="str">
        <f>SAFRAS!G21</f>
        <v/>
      </c>
      <c r="I18" s="12"/>
      <c r="J18" s="12"/>
      <c r="K18" s="12"/>
      <c r="L18" s="12"/>
      <c r="M18" s="12"/>
      <c r="N18" s="12"/>
    </row>
    <row r="19" spans="1:15" ht="14.25" x14ac:dyDescent="0.4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5" ht="14.25" x14ac:dyDescent="0.4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5" ht="14.25" x14ac:dyDescent="0.4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5" ht="14.25" x14ac:dyDescent="0.4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5" ht="14.25" x14ac:dyDescent="0.4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5" ht="14.25" x14ac:dyDescent="0.4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5" ht="14.25" x14ac:dyDescent="0.45">
      <c r="A25" s="12"/>
      <c r="B25" s="13" t="s">
        <v>28</v>
      </c>
      <c r="C25" s="12"/>
      <c r="D25" s="12"/>
      <c r="E25" s="12"/>
      <c r="F25" s="12"/>
      <c r="G25" s="12"/>
      <c r="H25" s="13" t="s">
        <v>29</v>
      </c>
      <c r="I25" s="12"/>
      <c r="J25" s="12"/>
      <c r="K25" s="12"/>
      <c r="L25" s="12"/>
      <c r="M25" s="12"/>
      <c r="N25" s="12"/>
    </row>
    <row r="26" spans="1:15" ht="18" customHeight="1" x14ac:dyDescent="0.45">
      <c r="A26" s="12"/>
      <c r="B26" s="14" t="s">
        <v>30</v>
      </c>
      <c r="C26" s="14" t="s">
        <v>31</v>
      </c>
      <c r="D26" s="14" t="s">
        <v>32</v>
      </c>
      <c r="E26" s="14" t="s">
        <v>33</v>
      </c>
      <c r="F26" s="14" t="s">
        <v>34</v>
      </c>
      <c r="G26" s="14" t="s">
        <v>35</v>
      </c>
      <c r="H26" s="14" t="s">
        <v>36</v>
      </c>
      <c r="I26" s="14" t="s">
        <v>37</v>
      </c>
      <c r="J26" s="14" t="s">
        <v>38</v>
      </c>
      <c r="K26" s="12"/>
      <c r="L26" s="12"/>
      <c r="M26" s="12"/>
      <c r="N26" s="12"/>
    </row>
    <row r="27" spans="1:15" ht="14.25" x14ac:dyDescent="0.45">
      <c r="A27" s="12"/>
      <c r="B27" s="17" t="s">
        <v>39</v>
      </c>
      <c r="C27" s="20">
        <f>$Z$40*100</f>
        <v>89.132996632996623</v>
      </c>
      <c r="D27" s="21">
        <f>SAFRAS!B16*100</f>
        <v>85</v>
      </c>
      <c r="E27" s="21">
        <f>SAFRAS!B17*100</f>
        <v>87.5</v>
      </c>
      <c r="F27" s="21">
        <f>SAFRAS!B18*100</f>
        <v>90</v>
      </c>
      <c r="G27" s="21">
        <f>SAFRAS!B19*100</f>
        <v>90.909090909090907</v>
      </c>
      <c r="H27" s="21" t="s">
        <v>11</v>
      </c>
      <c r="I27" s="22">
        <f>$Z$40*100</f>
        <v>89.132996632996623</v>
      </c>
      <c r="J27" s="23" t="str">
        <f>IF(OR(I27="",NOT(ISNUMBER(I27))),"",REPT("▬",MAX(1,ROUND((I27-(MIN(I27:I32)))/MAX(0.000000001,(MAX(I27:I32))-(MIN(I27:I32)))*10,0))))</f>
        <v>▬▬▬▬▬▬▬▬▬▬</v>
      </c>
      <c r="K27" s="12"/>
      <c r="L27" s="12"/>
      <c r="M27" s="12"/>
      <c r="N27" s="12"/>
    </row>
    <row r="28" spans="1:15" ht="14.25" x14ac:dyDescent="0.45">
      <c r="A28" s="12"/>
      <c r="B28" s="17" t="s">
        <v>40</v>
      </c>
      <c r="C28" s="20">
        <f>AVERAGE(SAFRAS!D16:D21)*100</f>
        <v>75.841750841750837</v>
      </c>
      <c r="D28" s="21">
        <f>SAFRAS!D16*100</f>
        <v>70</v>
      </c>
      <c r="E28" s="21">
        <f>SAFRAS!D17*100</f>
        <v>73.333333333333329</v>
      </c>
      <c r="F28" s="21">
        <f>SAFRAS!D18*100</f>
        <v>76.666666666666671</v>
      </c>
      <c r="G28" s="21">
        <f>SAFRAS!D19*100</f>
        <v>77.272727272727266</v>
      </c>
      <c r="H28" s="21" t="s">
        <v>12</v>
      </c>
      <c r="I28" s="22">
        <f>AVERAGE(SAFRAS!C16:C21)*100</f>
        <v>80.719696969696969</v>
      </c>
      <c r="J28" s="23" t="str">
        <f>IF(OR(I28="",NOT(ISNUMBER(I28))),"",REPT("▬",MAX(1,ROUND((I28-(MIN(I27:I32)))/MAX(0.000000001,(MAX(I27:I32))-(MIN(I27:I32)))*10,0))))</f>
        <v>▬▬▬▬▬▬▬</v>
      </c>
      <c r="K28" s="12"/>
      <c r="L28" s="12"/>
      <c r="M28" s="12"/>
      <c r="N28" s="12"/>
    </row>
    <row r="29" spans="1:15" ht="14.25" x14ac:dyDescent="0.45">
      <c r="A29" s="12"/>
      <c r="B29" s="17" t="s">
        <v>41</v>
      </c>
      <c r="C29" s="20">
        <f>$Z$41*100</f>
        <v>64.549494949494928</v>
      </c>
      <c r="D29" s="21">
        <f>SAFRAS!G16*100</f>
        <v>57.999999999999993</v>
      </c>
      <c r="E29" s="21">
        <f>SAFRAS!G17*100</f>
        <v>65</v>
      </c>
      <c r="F29" s="21">
        <f>SAFRAS!G18*100</f>
        <v>66.666666666666657</v>
      </c>
      <c r="G29" s="21">
        <f>SAFRAS!G19*100</f>
        <v>63.636363636363633</v>
      </c>
      <c r="H29" s="21" t="s">
        <v>13</v>
      </c>
      <c r="I29" s="22">
        <f>AVERAGE(SAFRAS!D16:D21)*100</f>
        <v>75.841750841750837</v>
      </c>
      <c r="J29" s="23" t="str">
        <f>IF(OR(I29="",NOT(ISNUMBER(I29))),"",REPT("▬",MAX(1,ROUND((I29-(MIN(I27:I32)))/MAX(0.000000001,(MAX(I27:I32))-(MIN(I27:I32)))*10,0))))</f>
        <v>▬▬▬▬▬</v>
      </c>
      <c r="K29" s="12"/>
      <c r="L29" s="12"/>
      <c r="M29" s="12"/>
      <c r="N29" s="12"/>
    </row>
    <row r="30" spans="1:15" ht="14.25" x14ac:dyDescent="0.45">
      <c r="A30" s="12"/>
      <c r="B30" s="12"/>
      <c r="C30" s="12"/>
      <c r="D30" s="12"/>
      <c r="E30" s="12"/>
      <c r="F30" s="12"/>
      <c r="G30" s="12"/>
      <c r="H30" s="24" t="s">
        <v>14</v>
      </c>
      <c r="I30" s="22">
        <f>AVERAGE(SAFRAS!E16:E21)*100</f>
        <v>72.39898989898991</v>
      </c>
      <c r="J30" s="25" t="str">
        <f>IF(OR(I30="",NOT(ISNUMBER(I30))),"",REPT("▬",MAX(1,ROUND((I30-(MIN(I27:I32)))/MAX(0.000000001,(MAX(I27:I32))-(MIN(I27:I32)))*10,0))))</f>
        <v>▬▬▬</v>
      </c>
      <c r="K30" s="12"/>
      <c r="L30" s="12"/>
      <c r="M30" s="12"/>
      <c r="N30" s="12"/>
    </row>
    <row r="31" spans="1:15" ht="14.25" x14ac:dyDescent="0.45">
      <c r="A31" s="12"/>
      <c r="B31" s="12"/>
      <c r="C31" s="12"/>
      <c r="D31" s="12"/>
      <c r="E31" s="12"/>
      <c r="F31" s="12"/>
      <c r="G31" s="12"/>
      <c r="H31" s="24" t="s">
        <v>15</v>
      </c>
      <c r="I31" s="22">
        <f>AVERAGE(SAFRAS!F16:F21)*100</f>
        <v>68.678451178451184</v>
      </c>
      <c r="J31" s="25" t="str">
        <f>IF(OR(I31="",NOT(ISNUMBER(I31))),"",REPT("▬",MAX(1,ROUND((I31-(MIN(I27:I32)))/MAX(0.000000001,(MAX(I27:I32))-(MIN(I27:I32)))*10,0))))</f>
        <v>▬▬</v>
      </c>
      <c r="K31" s="12"/>
      <c r="L31" s="12"/>
      <c r="M31" s="12"/>
      <c r="N31" s="12"/>
    </row>
    <row r="32" spans="1:15" ht="14.25" x14ac:dyDescent="0.45">
      <c r="A32" s="12"/>
      <c r="B32" s="12"/>
      <c r="C32" s="12"/>
      <c r="D32" s="12"/>
      <c r="E32" s="12"/>
      <c r="F32" s="12"/>
      <c r="G32" s="12"/>
      <c r="H32" s="24" t="s">
        <v>16</v>
      </c>
      <c r="I32" s="22">
        <f>$Z$41*100</f>
        <v>64.549494949494928</v>
      </c>
      <c r="J32" s="25" t="str">
        <f>IF(OR(I32="",NOT(ISNUMBER(I32))),"",REPT("▬",MAX(1,ROUND((I32-(MIN(I27:I32)))/MAX(0.000000001,(MAX(I27:I32))-(MIN(I27:I32)))*10,0))))</f>
        <v>▬</v>
      </c>
      <c r="K32" s="12"/>
      <c r="L32" s="12"/>
      <c r="M32" s="12"/>
      <c r="N32" s="12"/>
    </row>
    <row r="33" spans="1:26" ht="14.25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26" ht="14.25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26" ht="14.25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26" ht="14.25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26" ht="14.25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26" ht="14.25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26" ht="14.25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26" ht="14.25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Z40" s="26">
        <f>AVERAGE(SAFRAS!B16:B21)</f>
        <v>0.89132996632996619</v>
      </c>
    </row>
    <row r="41" spans="1:26" ht="14.25" x14ac:dyDescent="0.45">
      <c r="Z41" s="26">
        <f>AVERAGE(SAFRAS!G16:G21)</f>
        <v>0.64549494949494934</v>
      </c>
    </row>
    <row r="42" spans="1:26" ht="14.25" x14ac:dyDescent="0.45">
      <c r="Z42" t="str">
        <f>INDEX(SAFRAS!A16:A21,MATCH(MAX(SAFRAS!B16:B21),SAFRAS!B16:B21,0))</f>
        <v>Jun</v>
      </c>
    </row>
    <row r="43" spans="1:26" ht="14.25" x14ac:dyDescent="0.45">
      <c r="Z43" s="26">
        <f>MAX(SAFRAS!B16:B21)</f>
        <v>0.92500000000000004</v>
      </c>
    </row>
    <row r="44" spans="1:26" ht="14.25" x14ac:dyDescent="0.45">
      <c r="Z44" s="26">
        <f>1-Z40</f>
        <v>0.10867003367003381</v>
      </c>
    </row>
    <row r="50" spans="26:26" ht="14.25" x14ac:dyDescent="0.45">
      <c r="Z50">
        <v>1</v>
      </c>
    </row>
    <row r="51" spans="26:26" ht="14.25" x14ac:dyDescent="0.45">
      <c r="Z51" s="26">
        <f>Z40-1</f>
        <v>-0.10867003367003381</v>
      </c>
    </row>
    <row r="52" spans="26:26" ht="14.25" x14ac:dyDescent="0.45">
      <c r="Z52" s="26">
        <f>AVERAGE(SAFRAS!C16:C21)-Z40</f>
        <v>-8.4132996632996448E-2</v>
      </c>
    </row>
    <row r="53" spans="26:26" ht="14.25" x14ac:dyDescent="0.45">
      <c r="Z53" s="26">
        <f>AVERAGE(SAFRAS!D16:D21)-AVERAGE(SAFRAS!C16:C21)</f>
        <v>-4.8779461279461422E-2</v>
      </c>
    </row>
    <row r="54" spans="26:26" ht="14.25" x14ac:dyDescent="0.45">
      <c r="Z54" s="26">
        <f>AVERAGE(SAFRAS!D16:D21)</f>
        <v>0.75841750841750832</v>
      </c>
    </row>
  </sheetData>
  <mergeCells count="19">
    <mergeCell ref="B9:K9"/>
    <mergeCell ref="B7:C7"/>
    <mergeCell ref="D7:E7"/>
    <mergeCell ref="F7:G7"/>
    <mergeCell ref="H7:I7"/>
    <mergeCell ref="J7:K7"/>
    <mergeCell ref="B6:C6"/>
    <mergeCell ref="D6:E6"/>
    <mergeCell ref="F6:G6"/>
    <mergeCell ref="H6:I6"/>
    <mergeCell ref="J6:K6"/>
    <mergeCell ref="A1:L1"/>
    <mergeCell ref="A2:L2"/>
    <mergeCell ref="A3:L3"/>
    <mergeCell ref="B5:C5"/>
    <mergeCell ref="D5:E5"/>
    <mergeCell ref="F5:G5"/>
    <mergeCell ref="H5:I5"/>
    <mergeCell ref="J5:K5"/>
  </mergeCells>
  <conditionalFormatting sqref="C27:C29">
    <cfRule type="dataBar" priority="5">
      <dataBar>
        <cfvo type="min"/>
        <cfvo type="max"/>
        <color rgb="FFC99C66"/>
      </dataBar>
      <extLst>
        <ext xmlns:x14="http://schemas.microsoft.com/office/spreadsheetml/2009/9/main" uri="{B025F937-C7B1-47D3-B67F-A62EFF666E3E}">
          <x14:id>{F43ED66B-F129-482E-A1EF-F08EA919FAA0}</x14:id>
        </ext>
      </extLst>
    </cfRule>
  </conditionalFormatting>
  <conditionalFormatting sqref="C13:H18">
    <cfRule type="colorScale" priority="2">
      <colorScale>
        <cfvo type="num" val="0"/>
        <cfvo type="num" val="0.5"/>
        <cfvo type="num" val="1"/>
        <color rgb="FFD9534F"/>
        <color rgb="FFE0A94B"/>
        <color rgb="FF2E9E5B"/>
      </colorScale>
    </cfRule>
  </conditionalFormatting>
  <conditionalFormatting sqref="O13:O17">
    <cfRule type="cellIs" dxfId="1" priority="3" operator="greaterThan">
      <formula>0</formula>
    </cfRule>
    <cfRule type="cellIs" dxfId="0" priority="4" operator="lessThan">
      <formula>0</formula>
    </cfRule>
  </conditionalFormatting>
  <printOptions horizontalCentered="1"/>
  <pageMargins left="0.25" right="0.25" top="0.3" bottom="0.3" header="0.511811023622047" footer="0.511811023622047"/>
  <pageSetup paperSize="9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3ED66B-F129-482E-A1EF-F08EA919FAA0}">
            <x14:dataBar axisPosition="none">
              <x14:cfvo type="min"/>
              <x14:cfvo type="max"/>
              <x14:negativeFillColor rgb="FFC99C66"/>
            </x14:dataBar>
          </x14:cfRule>
          <xm:sqref>C27:C29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showGridLines="0" zoomScaleNormal="100" workbookViewId="0"/>
  </sheetViews>
  <sheetFormatPr defaultColWidth="8.53125" defaultRowHeight="15" customHeight="1" x14ac:dyDescent="0.45"/>
  <cols>
    <col min="1" max="2" width="12" customWidth="1"/>
    <col min="3" max="14" width="10" customWidth="1"/>
  </cols>
  <sheetData>
    <row r="1" spans="1:16" ht="13.5" customHeight="1" x14ac:dyDescent="0.4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2"/>
    </row>
    <row r="2" spans="1:16" ht="27.75" customHeight="1" x14ac:dyDescent="0.45">
      <c r="A2" s="10" t="s">
        <v>42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2"/>
      <c r="P2" s="12"/>
    </row>
    <row r="3" spans="1:16" ht="13.5" customHeight="1" x14ac:dyDescent="0.45">
      <c r="A3" s="9" t="s">
        <v>43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"/>
      <c r="P3" s="12"/>
    </row>
    <row r="4" spans="1:16" ht="14.25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18" customHeight="1" x14ac:dyDescent="0.45">
      <c r="A5" s="14" t="s">
        <v>10</v>
      </c>
      <c r="B5" s="14" t="s">
        <v>44</v>
      </c>
      <c r="C5" s="14" t="s">
        <v>11</v>
      </c>
      <c r="D5" s="14" t="s">
        <v>12</v>
      </c>
      <c r="E5" s="14" t="s">
        <v>13</v>
      </c>
      <c r="F5" s="14" t="s">
        <v>14</v>
      </c>
      <c r="G5" s="14" t="s">
        <v>15</v>
      </c>
      <c r="H5" s="14" t="s">
        <v>16</v>
      </c>
      <c r="I5" s="14" t="s">
        <v>45</v>
      </c>
      <c r="J5" s="14" t="s">
        <v>46</v>
      </c>
      <c r="K5" s="14" t="s">
        <v>47</v>
      </c>
      <c r="L5" s="14" t="s">
        <v>48</v>
      </c>
      <c r="M5" s="14" t="s">
        <v>49</v>
      </c>
      <c r="N5" s="14" t="s">
        <v>50</v>
      </c>
      <c r="O5" s="12"/>
      <c r="P5" s="12"/>
    </row>
    <row r="6" spans="1:16" ht="14.25" x14ac:dyDescent="0.45">
      <c r="A6" s="27" t="s">
        <v>51</v>
      </c>
      <c r="B6" s="28">
        <v>100</v>
      </c>
      <c r="C6" s="29">
        <v>85</v>
      </c>
      <c r="D6" s="29">
        <v>75</v>
      </c>
      <c r="E6" s="29">
        <v>70</v>
      </c>
      <c r="F6" s="29">
        <v>65</v>
      </c>
      <c r="G6" s="29">
        <v>60</v>
      </c>
      <c r="H6" s="29">
        <v>58</v>
      </c>
      <c r="I6" s="29">
        <v>55</v>
      </c>
      <c r="J6" s="29">
        <v>50</v>
      </c>
      <c r="K6" s="29">
        <v>48</v>
      </c>
      <c r="L6" s="29">
        <v>45</v>
      </c>
      <c r="M6" s="29">
        <v>45</v>
      </c>
      <c r="N6" s="29">
        <v>42</v>
      </c>
      <c r="O6" s="12"/>
      <c r="P6" s="12"/>
    </row>
    <row r="7" spans="1:16" ht="14.25" x14ac:dyDescent="0.45">
      <c r="A7" s="27" t="s">
        <v>52</v>
      </c>
      <c r="B7" s="28">
        <v>120</v>
      </c>
      <c r="C7" s="29">
        <v>105</v>
      </c>
      <c r="D7" s="29">
        <v>95</v>
      </c>
      <c r="E7" s="29">
        <v>88</v>
      </c>
      <c r="F7" s="29">
        <v>85</v>
      </c>
      <c r="G7" s="29">
        <v>80</v>
      </c>
      <c r="H7" s="29">
        <v>78</v>
      </c>
      <c r="I7" s="29">
        <v>75</v>
      </c>
      <c r="J7" s="29">
        <v>70</v>
      </c>
      <c r="K7" s="29">
        <v>68</v>
      </c>
      <c r="L7" s="29">
        <v>65</v>
      </c>
      <c r="M7" s="29"/>
      <c r="N7" s="29"/>
      <c r="O7" s="12"/>
      <c r="P7" s="12"/>
    </row>
    <row r="8" spans="1:16" ht="14.25" x14ac:dyDescent="0.45">
      <c r="A8" s="27" t="s">
        <v>53</v>
      </c>
      <c r="B8" s="28">
        <v>150</v>
      </c>
      <c r="C8" s="29">
        <v>135</v>
      </c>
      <c r="D8" s="29">
        <v>120</v>
      </c>
      <c r="E8" s="29">
        <v>115</v>
      </c>
      <c r="F8" s="29">
        <v>110</v>
      </c>
      <c r="G8" s="29">
        <v>105</v>
      </c>
      <c r="H8" s="29">
        <v>100</v>
      </c>
      <c r="I8" s="29">
        <v>95</v>
      </c>
      <c r="J8" s="29">
        <v>90</v>
      </c>
      <c r="K8" s="29"/>
      <c r="L8" s="29"/>
      <c r="M8" s="29"/>
      <c r="N8" s="29"/>
      <c r="O8" s="12"/>
      <c r="P8" s="12"/>
    </row>
    <row r="9" spans="1:16" ht="14.25" x14ac:dyDescent="0.45">
      <c r="A9" s="27" t="s">
        <v>54</v>
      </c>
      <c r="B9" s="28">
        <v>110</v>
      </c>
      <c r="C9" s="29">
        <v>100</v>
      </c>
      <c r="D9" s="29">
        <v>90</v>
      </c>
      <c r="E9" s="29">
        <v>85</v>
      </c>
      <c r="F9" s="29">
        <v>80</v>
      </c>
      <c r="G9" s="29">
        <v>75</v>
      </c>
      <c r="H9" s="29">
        <v>70</v>
      </c>
      <c r="I9" s="29">
        <v>65</v>
      </c>
      <c r="J9" s="29"/>
      <c r="K9" s="29"/>
      <c r="L9" s="29"/>
      <c r="M9" s="29"/>
      <c r="N9" s="29"/>
      <c r="O9" s="12"/>
      <c r="P9" s="12"/>
    </row>
    <row r="10" spans="1:16" ht="14.25" x14ac:dyDescent="0.45">
      <c r="A10" s="27" t="s">
        <v>55</v>
      </c>
      <c r="B10" s="28">
        <v>180</v>
      </c>
      <c r="C10" s="29">
        <v>160</v>
      </c>
      <c r="D10" s="29">
        <v>150</v>
      </c>
      <c r="E10" s="29">
        <v>140</v>
      </c>
      <c r="F10" s="29">
        <v>135</v>
      </c>
      <c r="G10" s="29">
        <v>130</v>
      </c>
      <c r="H10" s="29">
        <v>125</v>
      </c>
      <c r="I10" s="29"/>
      <c r="J10" s="29"/>
      <c r="K10" s="29"/>
      <c r="L10" s="29"/>
      <c r="M10" s="29"/>
      <c r="N10" s="29"/>
      <c r="O10" s="12"/>
      <c r="P10" s="12"/>
    </row>
    <row r="11" spans="1:16" ht="14.25" x14ac:dyDescent="0.45">
      <c r="A11" s="27" t="s">
        <v>56</v>
      </c>
      <c r="B11" s="28">
        <v>200</v>
      </c>
      <c r="C11" s="29">
        <v>185</v>
      </c>
      <c r="D11" s="29">
        <v>170</v>
      </c>
      <c r="E11" s="29">
        <v>160</v>
      </c>
      <c r="F11" s="29">
        <v>155</v>
      </c>
      <c r="G11" s="29">
        <v>150</v>
      </c>
      <c r="H11" s="29"/>
      <c r="I11" s="29"/>
      <c r="J11" s="29"/>
      <c r="K11" s="29"/>
      <c r="L11" s="29"/>
      <c r="M11" s="29"/>
      <c r="N11" s="29"/>
      <c r="O11" s="12"/>
      <c r="P11" s="12"/>
    </row>
    <row r="12" spans="1:16" ht="14.25" x14ac:dyDescent="0.4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ht="14.25" x14ac:dyDescent="0.4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ht="14.25" x14ac:dyDescent="0.45">
      <c r="A14" s="13" t="s">
        <v>57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ht="18" customHeight="1" x14ac:dyDescent="0.45">
      <c r="A15" s="14" t="s">
        <v>10</v>
      </c>
      <c r="B15" s="14" t="s">
        <v>11</v>
      </c>
      <c r="C15" s="14" t="s">
        <v>12</v>
      </c>
      <c r="D15" s="14" t="s">
        <v>13</v>
      </c>
      <c r="E15" s="14" t="s">
        <v>14</v>
      </c>
      <c r="F15" s="14" t="s">
        <v>15</v>
      </c>
      <c r="G15" s="14" t="s">
        <v>16</v>
      </c>
      <c r="H15" s="14" t="s">
        <v>45</v>
      </c>
      <c r="I15" s="14" t="s">
        <v>46</v>
      </c>
      <c r="J15" s="14" t="s">
        <v>47</v>
      </c>
      <c r="K15" s="14" t="s">
        <v>48</v>
      </c>
      <c r="L15" s="14" t="s">
        <v>49</v>
      </c>
      <c r="M15" s="14" t="s">
        <v>50</v>
      </c>
      <c r="N15" s="12"/>
      <c r="O15" s="12"/>
      <c r="P15" s="12"/>
    </row>
    <row r="16" spans="1:16" ht="14.25" x14ac:dyDescent="0.45">
      <c r="A16" s="27" t="s">
        <v>51</v>
      </c>
      <c r="B16" s="30">
        <f t="shared" ref="B16:M16" si="0">IF(C6="","",IFERROR(C6/$B$6,0))</f>
        <v>0.85</v>
      </c>
      <c r="C16" s="30">
        <f t="shared" si="0"/>
        <v>0.75</v>
      </c>
      <c r="D16" s="30">
        <f t="shared" si="0"/>
        <v>0.7</v>
      </c>
      <c r="E16" s="30">
        <f t="shared" si="0"/>
        <v>0.65</v>
      </c>
      <c r="F16" s="30">
        <f t="shared" si="0"/>
        <v>0.6</v>
      </c>
      <c r="G16" s="30">
        <f t="shared" si="0"/>
        <v>0.57999999999999996</v>
      </c>
      <c r="H16" s="30">
        <f t="shared" si="0"/>
        <v>0.55000000000000004</v>
      </c>
      <c r="I16" s="30">
        <f t="shared" si="0"/>
        <v>0.5</v>
      </c>
      <c r="J16" s="30">
        <f t="shared" si="0"/>
        <v>0.48</v>
      </c>
      <c r="K16" s="30">
        <f t="shared" si="0"/>
        <v>0.45</v>
      </c>
      <c r="L16" s="30">
        <f t="shared" si="0"/>
        <v>0.45</v>
      </c>
      <c r="M16" s="30">
        <f t="shared" si="0"/>
        <v>0.42</v>
      </c>
      <c r="N16" s="12"/>
      <c r="O16" s="12"/>
      <c r="P16" s="12"/>
    </row>
    <row r="17" spans="1:16" ht="14.25" x14ac:dyDescent="0.45">
      <c r="A17" s="27" t="s">
        <v>52</v>
      </c>
      <c r="B17" s="30">
        <f t="shared" ref="B17:M17" si="1">IF(C7="","",IFERROR(C7/$B$7,0))</f>
        <v>0.875</v>
      </c>
      <c r="C17" s="30">
        <f t="shared" si="1"/>
        <v>0.79166666666666663</v>
      </c>
      <c r="D17" s="30">
        <f t="shared" si="1"/>
        <v>0.73333333333333328</v>
      </c>
      <c r="E17" s="30">
        <f t="shared" si="1"/>
        <v>0.70833333333333337</v>
      </c>
      <c r="F17" s="30">
        <f t="shared" si="1"/>
        <v>0.66666666666666663</v>
      </c>
      <c r="G17" s="30">
        <f t="shared" si="1"/>
        <v>0.65</v>
      </c>
      <c r="H17" s="30">
        <f t="shared" si="1"/>
        <v>0.625</v>
      </c>
      <c r="I17" s="30">
        <f t="shared" si="1"/>
        <v>0.58333333333333337</v>
      </c>
      <c r="J17" s="30">
        <f t="shared" si="1"/>
        <v>0.56666666666666665</v>
      </c>
      <c r="K17" s="30">
        <f t="shared" si="1"/>
        <v>0.54166666666666663</v>
      </c>
      <c r="L17" s="30" t="str">
        <f t="shared" si="1"/>
        <v/>
      </c>
      <c r="M17" s="30" t="str">
        <f t="shared" si="1"/>
        <v/>
      </c>
      <c r="N17" s="12"/>
      <c r="O17" s="12"/>
      <c r="P17" s="12"/>
    </row>
    <row r="18" spans="1:16" ht="14.25" x14ac:dyDescent="0.45">
      <c r="A18" s="27" t="s">
        <v>53</v>
      </c>
      <c r="B18" s="30">
        <f t="shared" ref="B18:M18" si="2">IF(C8="","",IFERROR(C8/$B$8,0))</f>
        <v>0.9</v>
      </c>
      <c r="C18" s="30">
        <f t="shared" si="2"/>
        <v>0.8</v>
      </c>
      <c r="D18" s="30">
        <f t="shared" si="2"/>
        <v>0.76666666666666672</v>
      </c>
      <c r="E18" s="30">
        <f t="shared" si="2"/>
        <v>0.73333333333333328</v>
      </c>
      <c r="F18" s="30">
        <f t="shared" si="2"/>
        <v>0.7</v>
      </c>
      <c r="G18" s="30">
        <f t="shared" si="2"/>
        <v>0.66666666666666663</v>
      </c>
      <c r="H18" s="30">
        <f t="shared" si="2"/>
        <v>0.6333333333333333</v>
      </c>
      <c r="I18" s="30">
        <f t="shared" si="2"/>
        <v>0.6</v>
      </c>
      <c r="J18" s="30" t="str">
        <f t="shared" si="2"/>
        <v/>
      </c>
      <c r="K18" s="30" t="str">
        <f t="shared" si="2"/>
        <v/>
      </c>
      <c r="L18" s="30" t="str">
        <f t="shared" si="2"/>
        <v/>
      </c>
      <c r="M18" s="30" t="str">
        <f t="shared" si="2"/>
        <v/>
      </c>
      <c r="N18" s="12"/>
      <c r="O18" s="12"/>
      <c r="P18" s="12"/>
    </row>
    <row r="19" spans="1:16" ht="14.25" x14ac:dyDescent="0.45">
      <c r="A19" s="27" t="s">
        <v>54</v>
      </c>
      <c r="B19" s="30">
        <f t="shared" ref="B19:M19" si="3">IF(C9="","",IFERROR(C9/$B$9,0))</f>
        <v>0.90909090909090906</v>
      </c>
      <c r="C19" s="30">
        <f t="shared" si="3"/>
        <v>0.81818181818181823</v>
      </c>
      <c r="D19" s="30">
        <f t="shared" si="3"/>
        <v>0.77272727272727271</v>
      </c>
      <c r="E19" s="30">
        <f t="shared" si="3"/>
        <v>0.72727272727272729</v>
      </c>
      <c r="F19" s="30">
        <f t="shared" si="3"/>
        <v>0.68181818181818177</v>
      </c>
      <c r="G19" s="30">
        <f t="shared" si="3"/>
        <v>0.63636363636363635</v>
      </c>
      <c r="H19" s="30">
        <f t="shared" si="3"/>
        <v>0.59090909090909094</v>
      </c>
      <c r="I19" s="30" t="str">
        <f t="shared" si="3"/>
        <v/>
      </c>
      <c r="J19" s="30" t="str">
        <f t="shared" si="3"/>
        <v/>
      </c>
      <c r="K19" s="30" t="str">
        <f t="shared" si="3"/>
        <v/>
      </c>
      <c r="L19" s="30" t="str">
        <f t="shared" si="3"/>
        <v/>
      </c>
      <c r="M19" s="30" t="str">
        <f t="shared" si="3"/>
        <v/>
      </c>
      <c r="N19" s="12"/>
      <c r="O19" s="12"/>
      <c r="P19" s="12"/>
    </row>
    <row r="20" spans="1:16" ht="14.25" x14ac:dyDescent="0.45">
      <c r="A20" s="27" t="s">
        <v>55</v>
      </c>
      <c r="B20" s="30">
        <f t="shared" ref="B20:M20" si="4">IF(C10="","",IFERROR(C10/$B$10,0))</f>
        <v>0.88888888888888884</v>
      </c>
      <c r="C20" s="30">
        <f t="shared" si="4"/>
        <v>0.83333333333333337</v>
      </c>
      <c r="D20" s="30">
        <f t="shared" si="4"/>
        <v>0.77777777777777779</v>
      </c>
      <c r="E20" s="30">
        <f t="shared" si="4"/>
        <v>0.75</v>
      </c>
      <c r="F20" s="30">
        <f t="shared" si="4"/>
        <v>0.72222222222222221</v>
      </c>
      <c r="G20" s="30">
        <f t="shared" si="4"/>
        <v>0.69444444444444442</v>
      </c>
      <c r="H20" s="30" t="str">
        <f t="shared" si="4"/>
        <v/>
      </c>
      <c r="I20" s="30" t="str">
        <f t="shared" si="4"/>
        <v/>
      </c>
      <c r="J20" s="30" t="str">
        <f t="shared" si="4"/>
        <v/>
      </c>
      <c r="K20" s="30" t="str">
        <f t="shared" si="4"/>
        <v/>
      </c>
      <c r="L20" s="30" t="str">
        <f t="shared" si="4"/>
        <v/>
      </c>
      <c r="M20" s="30" t="str">
        <f t="shared" si="4"/>
        <v/>
      </c>
      <c r="N20" s="12"/>
      <c r="O20" s="12"/>
      <c r="P20" s="12"/>
    </row>
    <row r="21" spans="1:16" ht="14.25" x14ac:dyDescent="0.45">
      <c r="A21" s="27" t="s">
        <v>56</v>
      </c>
      <c r="B21" s="30">
        <f t="shared" ref="B21:M21" si="5">IF(C11="","",IFERROR(C11/$B$11,0))</f>
        <v>0.92500000000000004</v>
      </c>
      <c r="C21" s="30">
        <f t="shared" si="5"/>
        <v>0.85</v>
      </c>
      <c r="D21" s="30">
        <f t="shared" si="5"/>
        <v>0.8</v>
      </c>
      <c r="E21" s="30">
        <f t="shared" si="5"/>
        <v>0.77500000000000002</v>
      </c>
      <c r="F21" s="30">
        <f t="shared" si="5"/>
        <v>0.75</v>
      </c>
      <c r="G21" s="30" t="str">
        <f t="shared" si="5"/>
        <v/>
      </c>
      <c r="H21" s="30" t="str">
        <f t="shared" si="5"/>
        <v/>
      </c>
      <c r="I21" s="30" t="str">
        <f t="shared" si="5"/>
        <v/>
      </c>
      <c r="J21" s="30" t="str">
        <f t="shared" si="5"/>
        <v/>
      </c>
      <c r="K21" s="30" t="str">
        <f t="shared" si="5"/>
        <v/>
      </c>
      <c r="L21" s="30" t="str">
        <f t="shared" si="5"/>
        <v/>
      </c>
      <c r="M21" s="30" t="str">
        <f t="shared" si="5"/>
        <v/>
      </c>
      <c r="N21" s="12"/>
      <c r="O21" s="12"/>
      <c r="P21" s="12"/>
    </row>
    <row r="22" spans="1:16" ht="14.25" x14ac:dyDescent="0.4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14.25" x14ac:dyDescent="0.4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ht="14.25" x14ac:dyDescent="0.4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14.25" x14ac:dyDescent="0.4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ht="14.25" x14ac:dyDescent="0.4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ht="14.25" x14ac:dyDescent="0.4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ht="14.25" x14ac:dyDescent="0.4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ht="14.25" x14ac:dyDescent="0.4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ht="14.25" x14ac:dyDescent="0.4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ht="14.25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ht="14.25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ht="14.25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ht="14.25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ht="14.25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ht="14.25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ht="14.25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ht="14.25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ht="14.25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ht="14.25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ht="14.25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ht="14.25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 ht="14.25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 ht="14.25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ht="14.25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ht="14.25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ht="14.25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ht="14.25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ht="14.25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 ht="14.25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</sheetData>
  <mergeCells count="3">
    <mergeCell ref="A1:N1"/>
    <mergeCell ref="A2:N2"/>
    <mergeCell ref="A3:N3"/>
  </mergeCells>
  <conditionalFormatting sqref="B16:M21">
    <cfRule type="colorScale" priority="2">
      <colorScale>
        <cfvo type="num" val="0"/>
        <cfvo type="num" val="0.5"/>
        <cfvo type="num" val="1"/>
        <color rgb="FFD9534F"/>
        <color rgb="FFE0A94B"/>
        <color rgb="FF2E9E5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DASHBOARD</vt:lpstr>
      <vt:lpstr>SAFRAS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FLAVIO RINALDI</cp:lastModifiedBy>
  <dcterms:modified xsi:type="dcterms:W3CDTF">2026-08-04T00:50:08Z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2026-07-22T20:17:04Z</dcterms:created>
  <dc:creator>openpyxl</dc:creator>
  <dc:description/>
  <dc:language>en-US</dc:language>
  <cp:lastModifiedBy/>
  <dcterms:modified xsi:type="dcterms:W3CDTF">2026-07-22T20:17:04Z</dcterms:modified>
  <cp:revision>0</cp:revision>
  <dc:subject/>
  <dc:title/>
</cp:coreProperties>
</file>